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IITM_MTech\Python Practice\pfmea_Agent_6_sep\"/>
    </mc:Choice>
  </mc:AlternateContent>
  <xr:revisionPtr revIDLastSave="0" documentId="13_ncr:1_{CB0C24A4-1DB8-43B3-BE1D-DCEEC0D4BD8D}" xr6:coauthVersionLast="47" xr6:coauthVersionMax="47" xr10:uidLastSave="{00000000-0000-0000-0000-000000000000}"/>
  <bookViews>
    <workbookView xWindow="28680" yWindow="-1770" windowWidth="29040" windowHeight="15720" activeTab="1" xr2:uid="{00000000-000D-0000-FFFF-FFFF00000000}"/>
  </bookViews>
  <sheets>
    <sheet name="Instructions" sheetId="1" r:id="rId1"/>
    <sheet name="PFMEA" sheetId="2" r:id="rId2"/>
    <sheet name="P-DET" sheetId="3" r:id="rId3"/>
    <sheet name="P-OCC" sheetId="4" r:id="rId4"/>
    <sheet name="P-SEV" sheetId="5" r:id="rId5"/>
    <sheet name="Assumptions" sheetId="6" r:id="rId6"/>
  </sheets>
  <externalReferences>
    <externalReference r:id="rId7"/>
  </externalReferences>
  <definedNames>
    <definedName name="CustCoC">'[1]Summary 1'!$R$41</definedName>
    <definedName name="d" localSheetId="3">#REF!</definedName>
    <definedName name="d">#REF!</definedName>
    <definedName name="data" localSheetId="3">#REF!</definedName>
    <definedName name="data">#REF!</definedName>
    <definedName name="_xlnm.Database" localSheetId="3">#REF!</definedName>
    <definedName name="_xlnm.Database">#REF!</definedName>
    <definedName name="Det">Assumptions!$B$34:$B$43</definedName>
    <definedName name="FF1_Programming" localSheetId="3">#REF!</definedName>
    <definedName name="FF1_Programming">#REF!</definedName>
    <definedName name="FF2_Programming">#REF!</definedName>
    <definedName name="Hello">#REF!</definedName>
    <definedName name="Hello1">#REF!</definedName>
    <definedName name="NEI_FF1" localSheetId="3">#REF!</definedName>
    <definedName name="NEI_FF1">#REF!</definedName>
    <definedName name="Occur">Assumptions!$B$22:$B$31</definedName>
    <definedName name="Overall" localSheetId="3">#REF!</definedName>
    <definedName name="Overall">#REF!</definedName>
    <definedName name="p">#REF!</definedName>
    <definedName name="Plage">#REF!</definedName>
    <definedName name="_xlnm.Print_Area" localSheetId="2">'P-DET'!$A$1:$I$15</definedName>
    <definedName name="_xlnm.Print_Area" localSheetId="3">'P-OCC'!$A$1:$K$17</definedName>
    <definedName name="_xlnm.Print_Area" localSheetId="4">'P-SEV'!$A$1:$H$15</definedName>
    <definedName name="Sev">Assumptions!$B$10:$B$19</definedName>
    <definedName name="ww">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3" i="2" l="1"/>
  <c r="W23" i="2" s="1"/>
  <c r="O22" i="2"/>
  <c r="W22" i="2" s="1"/>
  <c r="O21" i="2"/>
  <c r="W21" i="2" s="1"/>
  <c r="O20" i="2"/>
  <c r="W20" i="2" s="1"/>
  <c r="O19" i="2"/>
  <c r="W19" i="2" s="1"/>
  <c r="O18" i="2"/>
  <c r="W18" i="2" s="1"/>
  <c r="O17" i="2"/>
  <c r="W17" i="2" s="1"/>
  <c r="O16" i="2"/>
  <c r="W16" i="2" s="1"/>
  <c r="O15" i="2"/>
  <c r="W15" i="2" s="1"/>
  <c r="O14" i="2"/>
  <c r="W1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Osterhouse</author>
    <author>Tam To</author>
  </authors>
  <commentList>
    <comment ref="E3" authorId="0" shapeId="0" xr:uid="{00000000-0006-0000-0200-000001000000}">
      <text>
        <r>
          <rPr>
            <sz val="10"/>
            <rFont val="Arial"/>
          </rPr>
          <t>Use this range if assembly has been mistake proofed.</t>
        </r>
      </text>
    </comment>
    <comment ref="F3" authorId="0" shapeId="0" xr:uid="{00000000-0006-0000-0200-000002000000}">
      <text>
        <r>
          <rPr>
            <sz val="10"/>
            <rFont val="Arial"/>
          </rPr>
          <t>Use this range if gauging is the protection method.</t>
        </r>
      </text>
    </comment>
    <comment ref="G3" authorId="0" shapeId="0" xr:uid="{00000000-0006-0000-0200-000003000000}">
      <text>
        <r>
          <rPr>
            <sz val="10"/>
            <rFont val="Arial"/>
          </rPr>
          <t>Use this range if the process is counting on someone's eyes or hands.</t>
        </r>
      </text>
    </comment>
    <comment ref="H3" authorId="1" shapeId="0" xr:uid="{00000000-0006-0000-0200-000004000000}">
      <text>
        <r>
          <rPr>
            <sz val="10"/>
            <rFont val="Arial"/>
          </rPr>
          <t>The team may define specific examples for each ranking category.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B3" authorId="0" shapeId="0" xr:uid="{00000000-0006-0000-0300-000001000000}">
      <text>
        <r>
          <rPr>
            <sz val="10"/>
            <rFont val="Arial"/>
          </rPr>
          <t>The team should agree on the occurrence criteria and ranking values. Select one way to assess the occurrence and then consistently apply that scale.</t>
        </r>
      </text>
    </comment>
    <comment ref="J3" authorId="0" shapeId="0" xr:uid="{00000000-0006-0000-0300-000002000000}">
      <text>
        <r>
          <rPr>
            <sz val="10"/>
            <rFont val="Arial"/>
          </rPr>
          <t>The team may define specific examples for each ranking category.</t>
        </r>
      </text>
    </comment>
    <comment ref="G4" authorId="0" shapeId="0" xr:uid="{00000000-0006-0000-0300-000003000000}">
      <text>
        <r>
          <rPr>
            <sz val="10"/>
            <rFont val="Arial"/>
          </rPr>
          <t>This column represents time based examples at a higher volume of production. Either this column or column F may be used as a reference. The team may adjust based on the product's volume of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G3" authorId="0" shapeId="0" xr:uid="{00000000-0006-0000-0400-000001000000}">
      <text>
        <r>
          <rPr>
            <sz val="10"/>
            <rFont val="Arial"/>
          </rPr>
          <t>The team may define specific examples for each ranking category.</t>
        </r>
      </text>
    </comment>
  </commentList>
</comments>
</file>

<file path=xl/sharedStrings.xml><?xml version="1.0" encoding="utf-8"?>
<sst xmlns="http://schemas.openxmlformats.org/spreadsheetml/2006/main" count="359" uniqueCount="293">
  <si>
    <t>Quality Tools</t>
  </si>
  <si>
    <t>Process FMEA</t>
  </si>
  <si>
    <t>Failure Mode and Effects Analysis</t>
  </si>
  <si>
    <t>Description</t>
  </si>
  <si>
    <t>Instructions</t>
  </si>
  <si>
    <t xml:space="preserve">This template is for use by Product Resources to record the Process Failure Mode and Effects Analysis (DFMEA) for medical and other devices.  FMEA is also referred to as Failure Modes, Effects, and Criticality Analysis (FMECA).  </t>
  </si>
  <si>
    <t>●</t>
  </si>
  <si>
    <t>Please see the guidance in 90-2000-7.1 regarding FMEA process before beginning an FMEA</t>
  </si>
  <si>
    <t>Parameters:</t>
  </si>
  <si>
    <t>Value</t>
  </si>
  <si>
    <t>Initiate action to reduce the RPN</t>
  </si>
  <si>
    <t>RPN triggering requiring mitigation action:</t>
  </si>
  <si>
    <t>Re-evaluate the RPN value after completion of the recommended actions</t>
  </si>
  <si>
    <t>Severity (Sev) requiring mitigation action regardless of RPN:</t>
  </si>
  <si>
    <t>PROCESS FAILURE MODE AND EFFECTS ANALYSIS (PFMEA)</t>
  </si>
  <si>
    <t>Item:</t>
  </si>
  <si>
    <t>Wheel damper</t>
  </si>
  <si>
    <t>Responsibility:</t>
  </si>
  <si>
    <t>Donald Trump</t>
  </si>
  <si>
    <t>FMEA number:</t>
  </si>
  <si>
    <t>Filename</t>
  </si>
  <si>
    <t>Drive shaft</t>
  </si>
  <si>
    <t>Prepared by:</t>
  </si>
  <si>
    <t>Selva Jeyaseelan</t>
  </si>
  <si>
    <t>Page :</t>
  </si>
  <si>
    <t>Core Team:</t>
  </si>
  <si>
    <t>Sunder Pichai, Sam Altman, Selva Jeyaseelan</t>
  </si>
  <si>
    <t>FMEA Date (Orig):</t>
  </si>
  <si>
    <t>Rev:</t>
  </si>
  <si>
    <t>FMEA Date (Cur):</t>
  </si>
  <si>
    <t xml:space="preserve"> Process</t>
  </si>
  <si>
    <t>Potential Failure Mode</t>
  </si>
  <si>
    <t>Potential Effect(s) of Failure</t>
  </si>
  <si>
    <t>Sev</t>
  </si>
  <si>
    <t>pred sev</t>
  </si>
  <si>
    <t>sev reasoning</t>
  </si>
  <si>
    <t>Cls</t>
  </si>
  <si>
    <t>Potential Cause(s)/ Mechanism(s) of Failure</t>
  </si>
  <si>
    <t>Current 
Process Prevention
Controls</t>
  </si>
  <si>
    <t>Occ</t>
  </si>
  <si>
    <t>Current 
Process Detection Controls
Controls</t>
  </si>
  <si>
    <t>Det</t>
  </si>
  <si>
    <t>pred det</t>
  </si>
  <si>
    <t>det reasoning</t>
  </si>
  <si>
    <t>RPN</t>
  </si>
  <si>
    <t>D-P gap</t>
  </si>
  <si>
    <t>Recommended Action(s)</t>
  </si>
  <si>
    <t>Responsibility and Target Completion Date</t>
  </si>
  <si>
    <t>Action Results</t>
  </si>
  <si>
    <t>Actions Taken</t>
  </si>
  <si>
    <t>10. Grease plastic bearning</t>
  </si>
  <si>
    <t>No grease filled in the bearing</t>
  </si>
  <si>
    <t>S: Portion of production run may have to be scrapped (7)
OEM: Portion of production run may have to be scrapped (7)
EU: Degradtion of primary function (7)</t>
  </si>
  <si>
    <t>failure effect text matches AIAG severity definition</t>
  </si>
  <si>
    <t>Severity Test:Defect text matches AIAG standard</t>
  </si>
  <si>
    <t>Daily maintenace check sheet
Preventive Maintenance
Work instruction for grease refill</t>
  </si>
  <si>
    <t>Read switch to find the level of grease in the tank (2)
Layer Process Audit (6)</t>
  </si>
  <si>
    <t>detection controls text matches AIAG detection criteria</t>
  </si>
  <si>
    <t>no gap</t>
  </si>
  <si>
    <t>Less grease in the bearing</t>
  </si>
  <si>
    <t xml:space="preserve">S: Portion of production run may have to be scrapped (5)
OEM: Portion of production run may have to be scrapped (7)
</t>
  </si>
  <si>
    <t>failure effect text keywords do not match AIAG severity definition. Original Stated Severity does not match Highest Severity Extracted; the correct overall severity is 7. Recommended Severity: 7</t>
  </si>
  <si>
    <t>S</t>
  </si>
  <si>
    <t>Severity test: Lower severity choosen</t>
  </si>
  <si>
    <t>Preventive maintenance
Calibration of gage</t>
  </si>
  <si>
    <t>First Off Approval (2)
Layered Process Audit (6)
Calibration report (6)</t>
  </si>
  <si>
    <t>detection controls text keywords do not match AIAG detection criteria. Check 1 failed: Original Stated Detection (5) does not exactly match Strongest Detection Extracted (2). Recommended Detection: 2</t>
  </si>
  <si>
    <t>More grease in the bearning</t>
  </si>
  <si>
    <t>S: A proportion of the production run may have to be reworked off line and accepted (5)
OEM: Potential failure mode affects safe operation and/or involves noncompliance with regulations with warning(9)</t>
  </si>
  <si>
    <t>failure effect text keywords do not match AIAG severity definition. The OEM effect text matches severity 9, but the S effect text describes severity 5, so the full text is not consistent as written. Recommended Severity: 9</t>
  </si>
  <si>
    <t>S: A proportion of the production run may have to be reworked off line and accepted (5)
OEM: No discernible effect (1)</t>
  </si>
  <si>
    <t>Severity test scenario: perfect match</t>
  </si>
  <si>
    <t>Detection test scenario: Severe Semantic Mismatch (Over-rating)</t>
  </si>
  <si>
    <t>"Random visual inspection by supervisor once a shift (3)"</t>
  </si>
  <si>
    <t>detection controls text keywords do not match AIAG detection criteria. Check 2 fails: "random visual inspection by supervisor once a shift" describes a difficult-to-detect audit/visual check, not automated in-station defect detection. Recommended Detection: 9</t>
  </si>
  <si>
    <t>EU: Apperance, fit and finish type itms do not confrm, defect noticed by most of the customrs (&gt;75%) (4)</t>
  </si>
  <si>
    <t>Severity test scenario: Spelling and typo</t>
  </si>
  <si>
    <t>Detection test scenario: Severe Semantic Mismatch (Under-rating)</t>
  </si>
  <si>
    <t>"In-station automated vision system that locks the machine if a defect is found (8)"</t>
  </si>
  <si>
    <t>detection controls text keywords do not match AIAG detection criteria. The text describes an in-station automated vision system that locks the machine if a defect is found, which aligns with a stronger detection than 8. Recommended Detection: 3</t>
  </si>
  <si>
    <t>S: 100% of product may have to be scrapped. Line shutdown or stop ship. (8)
OEM: A portion of the production run may have to be scrapped. (7)</t>
  </si>
  <si>
    <t>failure effect text keywords do not match AIAG severity definition. Original Stated Severity does not exactly match Highest Severity Extracted; the text contains mixed severities and the highest valid severity is 8. Recommended Severity: 8</t>
  </si>
  <si>
    <t>Severity test scenario: Column Mismatch (Under-reporting)</t>
  </si>
  <si>
    <t>Detection test scenario: Heavy Typographical Errors</t>
  </si>
  <si>
    <t>"Aoutmated varible gaging with red light buzer to notfy opreator (5)"</t>
  </si>
  <si>
    <t>Mismatch	EU: Loss of primary function (product inoperable, does not affect safe operation) (4)</t>
  </si>
  <si>
    <t>Severity test scenario: EU: Loss of primary function (product inoperable, does not affect safe operation) (4)</t>
  </si>
  <si>
    <t>Detection test scenario: . Multiple Controls (Stated matches Strongest)</t>
  </si>
  <si>
    <t>"Visual check by operator (8)  Automated laser interlock in-station (3)"</t>
  </si>
  <si>
    <t>failure effect text keywords do not match AIAG severity definition. Check 2 failed: the first effect text describes severity 5, not 5? and the second effect text correctly matches severity 9; overall highest valid severity from the text is 9. Recommended Severity: 9</t>
  </si>
  <si>
    <t>DFMEA PFMEA Gap analysis check</t>
  </si>
  <si>
    <t>Detection test scenario: Multiple Controls (Stated matches Weakest)</t>
  </si>
  <si>
    <t>"Visual check by operator (8) \n Automated laser interlock in-station (3)"</t>
  </si>
  <si>
    <t>detection controls text keywords do not match AIAG detection criteria. Check 1 failed: Original Stated Detection (8) does not exactly match Strongest Detection Extracted (3). Recommended Detection: 3</t>
  </si>
  <si>
    <t>failure effect text keywords do not match AIAG severity definition. OEM: severity 9 matches, but S: text describes severity 5, so the mixed effects are inconsistent with the extracted severities. Recommended Severity: 9</t>
  </si>
  <si>
    <t>Detection test scenario: Missing Brackets / Parentheses</t>
  </si>
  <si>
    <t>"Manual attribute go/no-go gauging in station 7"</t>
  </si>
  <si>
    <t>Gap identified. Det must be &lt;3</t>
  </si>
  <si>
    <t>Detection test scenario: Number Confusions (Scores mixed with specs)</t>
  </si>
  <si>
    <t>"Check 5 times a day using a 2 mm variable gauge (6)"`</t>
  </si>
  <si>
    <t>PFMEA Agent Instructions / Rules</t>
  </si>
  <si>
    <t>FMEA is a risk management tool which factors in the effects of failure, the occurane frequency and the effectiveness of detection controls</t>
  </si>
  <si>
    <t>Severity of failure is determined by what text is written in the column titled Potential Effects of failure</t>
  </si>
  <si>
    <t>One failure mode can have multiple effects of failure</t>
  </si>
  <si>
    <t>The Effects of failure must be recorded at various places: NP: Next Process, CE: Customer End (OEM), EU: End User (Car User), Regulatory Body</t>
  </si>
  <si>
    <t>The highest severity score must be choosen for a given failure mode</t>
  </si>
  <si>
    <t>Occurrence score is decided based on the frequency of occurance of the cause of failure along with the current process prevention controls</t>
  </si>
  <si>
    <t>Detection score is decided based on the current process detection controls</t>
  </si>
  <si>
    <t xml:space="preserve">Each </t>
  </si>
  <si>
    <t>RPN is a product of severity,occurrences and detection values</t>
  </si>
  <si>
    <t>Always use the Severity, Occurance and Detection values available on the extreme right column after the Recommended actions column. If not available, use the S,O,D values to the left of recommended actions column</t>
  </si>
  <si>
    <t>It is assumed that the severity, occurance and detection scores entered by the suppliers are accurate for that particulare failure mode / process step</t>
  </si>
  <si>
    <t>The AI agent ony verifies if 1) the effects of failure and severity scores are accurately mapped 2) if the detection controls and detection scores are accurately mapped</t>
  </si>
  <si>
    <t>The AI agent verifies the accuracy of the severity zone, detection zone and risk priority level based on the risk limiting sheet matrix</t>
  </si>
  <si>
    <t>The definition of determining the severity scores  &amp; detection scores are taking from AIAG PFMEA standard 4th edition</t>
  </si>
  <si>
    <t>The AI agent does not directly evaluate the occurrence score since this entirely depends on the expertise of the supplier in preventing the cause of failure and the current prevention controls they have (which is non numeric)</t>
  </si>
  <si>
    <t>The AI agent identifies rows where Cls column in filled (Key Critical &amp; Significant Characteristics)</t>
  </si>
  <si>
    <t>The AI agent performs the DFMEA - PFMEA gap analysis: For rows with severity 9 and 10, the detection must be 3 or below</t>
  </si>
  <si>
    <t>Steps</t>
  </si>
  <si>
    <t>Uniquely identify these columns 1) Potential Effects of failure 2) Sev 3) Current process controls - detection 4) Det  5) RPN values 6) Recommended Actions 7) Sev 8) Occ 9) Det 10) RPN</t>
  </si>
  <si>
    <t>Indentify column named RPN to the left of recommended actions column (Future improvements, detect RPN,S,O,D columns to right of recommended actions)</t>
  </si>
  <si>
    <t>Identify cells ot the left of 'Sev' Column. They must have severity scores affecting different stake holders (NP: Next Process, S: Supplier, C: Customer (OEM), EU: End User, Regulatory body</t>
  </si>
  <si>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</si>
  <si>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</si>
  <si>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</si>
  <si>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</si>
  <si>
    <t>Template Issue date 2019NOV26</t>
  </si>
  <si>
    <t>PFMEA - Detection
The team should agree on the criteria and ranking values. Select one way and consistently apply that scale.</t>
  </si>
  <si>
    <t>References</t>
  </si>
  <si>
    <t>Modified from J1739 / AS13004</t>
  </si>
  <si>
    <t xml:space="preserve"> Mistake-proofed</t>
  </si>
  <si>
    <t xml:space="preserve"> Gauged</t>
  </si>
  <si>
    <t xml:space="preserve"> Manual Inspection  </t>
  </si>
  <si>
    <t>Example</t>
  </si>
  <si>
    <t>Ranking</t>
  </si>
  <si>
    <t>Likelihood of Detection by Process Control - Category</t>
  </si>
  <si>
    <t>Likelihood of Detection by Process Control - Criteria</t>
  </si>
  <si>
    <t>Absolute Uncertainty</t>
  </si>
  <si>
    <t>No current process control; Cannot detect or compliance analysis is not performed.</t>
  </si>
  <si>
    <t xml:space="preserve">100% Human Inspection </t>
  </si>
  <si>
    <t>Difficult to Detect</t>
  </si>
  <si>
    <t>Defect (Failure Mode) and/or Error (Cause) in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</si>
  <si>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</si>
  <si>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</si>
  <si>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</si>
  <si>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</si>
  <si>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Manual gauging is used on every part</t>
  </si>
  <si>
    <t xml:space="preserve">Defect (Failure Mode) detection post-processing by operator through use of variable gauging or in-station by operator through use of attribute gauging (go/no-go, manual torque check/clicker wrench, etc,) with boundary samples. </t>
  </si>
  <si>
    <t>Defect (Failure Mode) or Error (Cause) detection in-station by operator through use of variable gauging or by automated controls that will detect discrepant part and notify operator (light, busser, etc.). Gauging performed on setup and first-piece check (for set-up causes ony).</t>
  </si>
  <si>
    <t>Automatic gauging or controls to detect discrepant part</t>
  </si>
  <si>
    <t>Defect (Failure Mode) detection post-processing by automated controls that will detect discrepant part and lock part to prevent further processing.</t>
  </si>
  <si>
    <t>Controls in place for mistake proofing the assembly</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</si>
  <si>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</si>
  <si>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</si>
  <si>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</si>
  <si>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Detection not applicable</t>
  </si>
  <si>
    <t>Error (Cause) prevention as a result of fixture design, machine design or part design.</t>
  </si>
  <si>
    <t>© 2019 IAQG  The IAQG is a legally incorporated international not for profit association (INPA) with membership from the Americas, Europe and the Asia Pacific Region (Rev. 08-2015)</t>
  </si>
  <si>
    <t>Return to PFMEA</t>
  </si>
  <si>
    <t>PFMEA - Occurrence
The team should agree on the criteria and ranking values. Select one way and consistently apply that scale.</t>
  </si>
  <si>
    <t>J1739</t>
  </si>
  <si>
    <t>AS13004</t>
  </si>
  <si>
    <t>AIAG FMEA - 4th Edition</t>
  </si>
  <si>
    <t>Examples</t>
  </si>
  <si>
    <t>Likelihood of
Failure</t>
  </si>
  <si>
    <t>Low volume production</t>
  </si>
  <si>
    <t>Process PPM</t>
  </si>
  <si>
    <t>Time-Based Example</t>
  </si>
  <si>
    <t>High volume production</t>
  </si>
  <si>
    <t>Likelihood of Cause</t>
  </si>
  <si>
    <t>Incidents per item/unit</t>
  </si>
  <si>
    <t>Very High</t>
  </si>
  <si>
    <t>100% of production</t>
  </si>
  <si>
    <t>&gt;1 per occurrence per shift</t>
  </si>
  <si>
    <t>&gt; 1 per occurrence per shift</t>
  </si>
  <si>
    <t>1 in 10</t>
  </si>
  <si>
    <t>&gt; 100 per thousand</t>
  </si>
  <si>
    <t>High</t>
  </si>
  <si>
    <t>50% of production</t>
  </si>
  <si>
    <t>&gt;1 per occurrence per day</t>
  </si>
  <si>
    <t>&gt; 1 per occurrence per day</t>
  </si>
  <si>
    <t>1 in 20</t>
  </si>
  <si>
    <t>50 per thousand</t>
  </si>
  <si>
    <t>20% of production</t>
  </si>
  <si>
    <t>&gt;1 per 2-3 days</t>
  </si>
  <si>
    <t>1 in 50</t>
  </si>
  <si>
    <t>20 per thousand</t>
  </si>
  <si>
    <t>10% of production</t>
  </si>
  <si>
    <t>&gt;1 per week</t>
  </si>
  <si>
    <t>&gt; 1 per week</t>
  </si>
  <si>
    <t>1 in 100</t>
  </si>
  <si>
    <t>10 per thousand</t>
  </si>
  <si>
    <t>Moderate</t>
  </si>
  <si>
    <t>5% of production</t>
  </si>
  <si>
    <t>1 per month</t>
  </si>
  <si>
    <t>&gt;1 per 2 weeks</t>
  </si>
  <si>
    <t>1 in 500</t>
  </si>
  <si>
    <t>2 per thousand</t>
  </si>
  <si>
    <t>0.5% of production</t>
  </si>
  <si>
    <t>2 per year</t>
  </si>
  <si>
    <t>&gt;1 per quarter</t>
  </si>
  <si>
    <t>1 in 2,000</t>
  </si>
  <si>
    <t>.5 per thousand</t>
  </si>
  <si>
    <t>0.1% of production</t>
  </si>
  <si>
    <t>1 per year</t>
  </si>
  <si>
    <t>&gt;1 per half year</t>
  </si>
  <si>
    <t>1 in 10,000</t>
  </si>
  <si>
    <t>.1 per thousand</t>
  </si>
  <si>
    <t>Low</t>
  </si>
  <si>
    <t>0.05% of production</t>
  </si>
  <si>
    <t>1 per 5 years</t>
  </si>
  <si>
    <t>&gt;1 per year</t>
  </si>
  <si>
    <t>1 in 100,000</t>
  </si>
  <si>
    <t>.01 per thousand</t>
  </si>
  <si>
    <t>0.01% of production</t>
  </si>
  <si>
    <t>1 per 10 years</t>
  </si>
  <si>
    <t>&lt;1 per year</t>
  </si>
  <si>
    <t>1 in 1,000,000</t>
  </si>
  <si>
    <t>&lt;.001 per thousand</t>
  </si>
  <si>
    <t>Very Low</t>
  </si>
  <si>
    <t>Less than 0.01% of production</t>
  </si>
  <si>
    <t>&lt;1 per 10 years</t>
  </si>
  <si>
    <t>zero</t>
  </si>
  <si>
    <t>Never</t>
  </si>
  <si>
    <t>eliminated thru preventive controls</t>
  </si>
  <si>
    <t>PFMEA - Severity
The team should agree on the criteria and ranking values. Select one way and consistently apply that scale.</t>
  </si>
  <si>
    <t>Effect</t>
  </si>
  <si>
    <t>Severity of Effect on Product (Customer Effect)</t>
  </si>
  <si>
    <t>Category</t>
  </si>
  <si>
    <t>Severity of Effect on Process (Manufacturing / Assembly Effect)</t>
  </si>
  <si>
    <t>Failure to meet safety and/or regulatory requirements</t>
  </si>
  <si>
    <t>Potential failure mode affects safe operation and/or involves noncompliance with regulations without warning</t>
  </si>
  <si>
    <t>May endanger operator, machine or assembly without warning.</t>
  </si>
  <si>
    <t>Potential failure mode affects safe operation and/or involves noncompliance with regulations with warning</t>
  </si>
  <si>
    <t>May endanger operator, machine or assembly with warning.</t>
  </si>
  <si>
    <t>Loss or degradation of primary function</t>
  </si>
  <si>
    <t>Loss of primary function (product inoperable, does not affect safe operation)</t>
  </si>
  <si>
    <t>Major disruption</t>
  </si>
  <si>
    <t>100% of product may have to be scrapped. Line shutdown or stop ship.</t>
  </si>
  <si>
    <t>Degradation of primary function (product operable, but at a reduced level of performance)</t>
  </si>
  <si>
    <t>Significant disruption</t>
  </si>
  <si>
    <t>A portion of the production run may have to be scrapped. Deviation from primary process; decreased line speed or added manpower).</t>
  </si>
  <si>
    <t>Loss or degradation of secondary function</t>
  </si>
  <si>
    <t xml:space="preserve">Loss of secondary function (product operable but service life greatly reduced, convenience item(s) inoperable, customer dissatisfied) </t>
  </si>
  <si>
    <t>Moderate disruption</t>
  </si>
  <si>
    <t>100% of production run may have to be reworked off line and accepted</t>
  </si>
  <si>
    <t>Degradation of secondary function (product operable but appearance affected, convenience item(s)  operable at a reduced level, customer dissatisfied.</t>
  </si>
  <si>
    <t xml:space="preserve">A proportion of the production run may have to be reworked off line and acepted </t>
  </si>
  <si>
    <t>Annoyance</t>
  </si>
  <si>
    <t>Appearance, fit and finish type items do not conform, defect noticed by most of the customers (&gt;75%)</t>
  </si>
  <si>
    <t>100% of production run may have to be reworked in station before it is processed.</t>
  </si>
  <si>
    <t>Appearance, fit and finish type items do not conform, defect noticed by about half of the customers (50%)</t>
  </si>
  <si>
    <t>A proportion of the production run may have to be reworked in station before it is processed.</t>
  </si>
  <si>
    <t>Appearance, fit and finish type items do not conform, defect noticed by discriminating customers (&lt;25%)</t>
  </si>
  <si>
    <t>Minor disruption</t>
  </si>
  <si>
    <t>Slight inconvenience to process, operation or operator.</t>
  </si>
  <si>
    <t>No effect</t>
  </si>
  <si>
    <t>No discernible effect</t>
  </si>
  <si>
    <t>Assumptions for this PFMEA:</t>
  </si>
  <si>
    <t>Misc. Assumptions: (itemize and describe below)</t>
  </si>
  <si>
    <t>1.  All provisions of Product Resources' ISO 9001 QMS apply and are implemented.</t>
  </si>
  <si>
    <t>2.</t>
  </si>
  <si>
    <t>3.</t>
  </si>
  <si>
    <t>4.</t>
  </si>
  <si>
    <t>5.</t>
  </si>
  <si>
    <t>Examples:</t>
  </si>
  <si>
    <t>Severity (Sev): (alter if needed to be appropriate for this PFMEA)</t>
  </si>
  <si>
    <t>the lowest severity</t>
  </si>
  <si>
    <t>User is unlikely to notice and/or a cosmetic item</t>
  </si>
  <si>
    <t>Customer is inconvenienced and/or annoyed</t>
  </si>
  <si>
    <t>Potential to cause operator anxiety or uncertainty</t>
  </si>
  <si>
    <t>moderate severity</t>
  </si>
  <si>
    <t>Not performed the intended test, may require some later action</t>
  </si>
  <si>
    <t>high severity / trigger level for mitigation action required</t>
  </si>
  <si>
    <t>Bodily harm caused to operator</t>
  </si>
  <si>
    <t>Test will be performed with a potentially inaccurate/incorrect result</t>
  </si>
  <si>
    <t>the highest severity</t>
  </si>
  <si>
    <t>Severe bodily harm caused to operator</t>
  </si>
  <si>
    <t>Occurrence (Occur): (alter if needed to be appropriate for this PFMEA)</t>
  </si>
  <si>
    <t>Occur</t>
  </si>
  <si>
    <t>the lowest likelihood of occurrence</t>
  </si>
  <si>
    <t>nearly 0% / very improbable</t>
  </si>
  <si>
    <t>1 in 100 chance</t>
  </si>
  <si>
    <t>1 in 10 chance</t>
  </si>
  <si>
    <t>moderately likely to occur</t>
  </si>
  <si>
    <t>1 in 3 chance</t>
  </si>
  <si>
    <t>1 in 2 chance</t>
  </si>
  <si>
    <t>the highest likelihood of occurrence</t>
  </si>
  <si>
    <t>nearly 100% / very probable</t>
  </si>
  <si>
    <t>Detection (Detec): (alter if needed to be appropriate for this PFMEA)</t>
  </si>
  <si>
    <t>the highest ability to detect</t>
  </si>
  <si>
    <t>moderate ability to detect</t>
  </si>
  <si>
    <t>the lowest ability to detect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</si>
</sst>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ont>
    <font>
      <sz val="11"/>
      <color theme="1"/>
      <name val="Calibri"/>
      <family val="2"/>
      <scheme val="minor"/>
    </font>
    <font>
      <sz val="24"/>
      <color indexed="9"/>
      <name val="Tw Cen MT"/>
      <family val="2"/>
    </font>
    <font>
      <b/>
      <sz val="12"/>
      <color indexed="53"/>
      <name val="Verdana"/>
      <family val="2"/>
    </font>
    <font>
      <b/>
      <sz val="8"/>
      <color indexed="53"/>
      <name val="Verdana"/>
      <family val="2"/>
    </font>
    <font>
      <sz val="8"/>
      <name val="Verdana"/>
      <family val="2"/>
    </font>
    <font>
      <b/>
      <sz val="12"/>
      <name val="Arial"/>
      <family val="2"/>
    </font>
    <font>
      <sz val="10"/>
      <name val="Arial"/>
      <family val="2"/>
    </font>
    <font>
      <sz val="24"/>
      <color rgb="FF0070C0"/>
      <name val="Arial"/>
      <family val="2"/>
    </font>
    <font>
      <b/>
      <sz val="11"/>
      <color theme="1"/>
      <name val="Calibri"/>
      <family val="2"/>
      <scheme val="minor"/>
    </font>
    <font>
      <sz val="10"/>
      <color theme="1"/>
      <name val="Arial"/>
      <family val="2"/>
    </font>
    <font>
      <sz val="11"/>
      <color indexed="8"/>
      <name val="Calibri"/>
      <family val="2"/>
    </font>
    <font>
      <sz val="10"/>
      <color indexed="8"/>
      <name val="Arial"/>
      <family val="2"/>
    </font>
    <font>
      <sz val="10"/>
      <color theme="1"/>
      <name val="Calibri"/>
      <family val="2"/>
      <scheme val="minor"/>
    </font>
    <font>
      <b/>
      <sz val="14"/>
      <name val="Calibri"/>
      <family val="2"/>
      <scheme val="minor"/>
    </font>
    <font>
      <i/>
      <sz val="10"/>
      <color indexed="8"/>
      <name val="Calibri"/>
      <family val="2"/>
      <scheme val="minor"/>
    </font>
    <font>
      <b/>
      <sz val="11"/>
      <color indexed="8"/>
      <name val="Calibri"/>
      <family val="2"/>
      <scheme val="minor"/>
    </font>
    <font>
      <b/>
      <i/>
      <sz val="14"/>
      <name val="Calibri"/>
      <family val="2"/>
      <scheme val="minor"/>
    </font>
    <font>
      <sz val="10"/>
      <color theme="1"/>
      <name val="Calibri"/>
      <family val="2"/>
    </font>
    <font>
      <u/>
      <sz val="11"/>
      <color theme="10"/>
      <name val="Calibri"/>
      <family val="2"/>
    </font>
    <font>
      <sz val="10"/>
      <name val="Calibri"/>
      <family val="2"/>
      <scheme val="minor"/>
    </font>
    <font>
      <sz val="8"/>
      <color theme="1"/>
      <name val="Calibri"/>
      <family val="2"/>
    </font>
    <font>
      <sz val="8"/>
      <color theme="1"/>
      <name val="Calibri"/>
      <family val="2"/>
      <scheme val="minor"/>
    </font>
    <font>
      <b/>
      <sz val="11"/>
      <color rgb="FF0000FF"/>
      <name val="Calibri"/>
      <family val="2"/>
      <scheme val="minor"/>
    </font>
    <font>
      <b/>
      <sz val="9"/>
      <name val="Arial"/>
      <family val="2"/>
    </font>
    <font>
      <b/>
      <sz val="11"/>
      <name val="Arial"/>
      <family val="2"/>
    </font>
    <font>
      <sz val="10"/>
      <color rgb="FF000000"/>
      <name val="Arial"/>
    </font>
    <font>
      <sz val="10"/>
      <color rgb="FFCC0000"/>
      <name val="Arial"/>
    </font>
  </fonts>
  <fills count="17">
    <fill>
      <patternFill patternType="none"/>
    </fill>
    <fill>
      <patternFill patternType="gray125"/>
    </fill>
    <fill>
      <patternFill patternType="solid">
        <fgColor indexed="53"/>
        <bgColor indexed="64"/>
      </patternFill>
    </fill>
    <fill>
      <patternFill patternType="solid">
        <fgColor theme="0" tint="-0.14999847407452621"/>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s>
  <borders count="26">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23"/>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s>
  <cellStyleXfs count="7">
    <xf numFmtId="0" fontId="0" fillId="0" borderId="0"/>
    <xf numFmtId="0" fontId="1" fillId="0" borderId="0"/>
    <xf numFmtId="0" fontId="1" fillId="0" borderId="0"/>
    <xf numFmtId="0" fontId="11" fillId="0" borderId="0"/>
    <xf numFmtId="0" fontId="7" fillId="0" borderId="0"/>
    <xf numFmtId="0" fontId="10" fillId="0" borderId="0"/>
    <xf numFmtId="0" fontId="19" fillId="0" borderId="0">
      <alignment vertical="top"/>
      <protection locked="0"/>
    </xf>
  </cellStyleXfs>
  <cellXfs count="138">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0" xfId="0" quotePrefix="1" applyAlignment="1">
      <alignment wrapText="1"/>
    </xf>
    <xf numFmtId="0" fontId="0" fillId="0" borderId="6" xfId="0" applyBorder="1" applyAlignment="1">
      <alignment wrapText="1"/>
    </xf>
    <xf numFmtId="0" fontId="0" fillId="0" borderId="8" xfId="0" applyBorder="1" applyAlignment="1">
      <alignment wrapText="1"/>
    </xf>
    <xf numFmtId="0" fontId="0" fillId="0" borderId="0" xfId="0"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3" borderId="4" xfId="0" applyFill="1" applyBorder="1" applyAlignment="1">
      <alignment wrapText="1"/>
    </xf>
    <xf numFmtId="0" fontId="0" fillId="0" borderId="3" xfId="0"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vertical="center" wrapText="1"/>
      <protection locked="0"/>
    </xf>
    <xf numFmtId="0" fontId="7" fillId="0" borderId="3" xfId="0" applyFont="1" applyBorder="1" applyAlignment="1" applyProtection="1">
      <alignment vertical="center" wrapText="1"/>
      <protection locked="0"/>
    </xf>
    <xf numFmtId="0" fontId="7" fillId="0" borderId="5" xfId="0" applyFont="1" applyBorder="1" applyAlignment="1">
      <alignment horizontal="center" wrapText="1"/>
    </xf>
    <xf numFmtId="0" fontId="0" fillId="0" borderId="0" xfId="0" applyAlignment="1" applyProtection="1">
      <alignment horizontal="center" vertical="center"/>
      <protection locked="0"/>
    </xf>
    <xf numFmtId="0" fontId="0" fillId="0" borderId="0" xfId="0" applyProtection="1">
      <protection locked="0"/>
    </xf>
    <xf numFmtId="0" fontId="3" fillId="0" borderId="0" xfId="0" applyFont="1" applyProtection="1">
      <protection locked="0"/>
    </xf>
    <xf numFmtId="0" fontId="4" fillId="0" borderId="1" xfId="0" applyFont="1" applyBorder="1" applyProtection="1">
      <protection locked="0"/>
    </xf>
    <xf numFmtId="0" fontId="5" fillId="0" borderId="1" xfId="0" applyFont="1" applyBorder="1" applyProtection="1">
      <protection locked="0"/>
    </xf>
    <xf numFmtId="0" fontId="5" fillId="0" borderId="0" xfId="0" applyFont="1" applyAlignment="1" applyProtection="1">
      <alignment horizontal="center" vertical="center"/>
      <protection locked="0"/>
    </xf>
    <xf numFmtId="0" fontId="0" fillId="0" borderId="0" xfId="0" applyAlignment="1" applyProtection="1">
      <alignment vertical="center"/>
      <protection locked="0"/>
    </xf>
    <xf numFmtId="0" fontId="5" fillId="0" borderId="0" xfId="0" applyFont="1" applyAlignment="1" applyProtection="1">
      <alignment vertical="center"/>
      <protection locked="0"/>
    </xf>
    <xf numFmtId="0" fontId="0" fillId="0" borderId="3" xfId="0" applyBorder="1" applyAlignment="1" applyProtection="1">
      <alignment vertical="center"/>
      <protection locked="0"/>
    </xf>
    <xf numFmtId="0" fontId="7" fillId="3" borderId="3" xfId="0" applyFont="1" applyFill="1" applyBorder="1" applyProtection="1">
      <protection locked="0"/>
    </xf>
    <xf numFmtId="0" fontId="7" fillId="0" borderId="3" xfId="0" applyFont="1" applyBorder="1" applyProtection="1">
      <protection locked="0"/>
    </xf>
    <xf numFmtId="0" fontId="7" fillId="0" borderId="3" xfId="0" applyFont="1" applyBorder="1" applyAlignment="1" applyProtection="1">
      <alignment horizontal="left" vertical="center"/>
      <protection locked="0"/>
    </xf>
    <xf numFmtId="14" fontId="7" fillId="0" borderId="3" xfId="0" applyNumberFormat="1" applyFont="1" applyBorder="1" applyAlignment="1" applyProtection="1">
      <alignment horizontal="left"/>
      <protection locked="0"/>
    </xf>
    <xf numFmtId="0" fontId="7" fillId="0" borderId="3" xfId="0" applyFont="1" applyBorder="1" applyAlignment="1" applyProtection="1">
      <alignment horizontal="center" vertical="center"/>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8" fillId="0" borderId="0" xfId="0" applyFont="1" applyProtection="1">
      <protection locked="0"/>
    </xf>
    <xf numFmtId="0" fontId="5" fillId="0" borderId="0" xfId="0" applyFont="1" applyAlignment="1" applyProtection="1">
      <alignment horizontal="left" vertical="center" wrapText="1"/>
      <protection locked="0"/>
    </xf>
    <xf numFmtId="0" fontId="1" fillId="4" borderId="0" xfId="1" applyFill="1"/>
    <xf numFmtId="0" fontId="1" fillId="0" borderId="0" xfId="1"/>
    <xf numFmtId="0" fontId="1" fillId="0" borderId="0" xfId="1" applyAlignment="1">
      <alignment wrapText="1"/>
    </xf>
    <xf numFmtId="0" fontId="1" fillId="0" borderId="0" xfId="2" applyAlignment="1">
      <alignment horizontal="center" vertical="center" wrapText="1"/>
    </xf>
    <xf numFmtId="0" fontId="12" fillId="0" borderId="0" xfId="3" applyFont="1" applyAlignment="1">
      <alignment horizontal="right" vertical="top"/>
    </xf>
    <xf numFmtId="0" fontId="13" fillId="0" borderId="0" xfId="2" applyFont="1" applyAlignment="1">
      <alignment horizontal="right" vertical="top"/>
    </xf>
    <xf numFmtId="0" fontId="15" fillId="6" borderId="15" xfId="3" applyFont="1" applyFill="1" applyBorder="1" applyAlignment="1">
      <alignment horizontal="center" vertical="center" wrapText="1"/>
    </xf>
    <xf numFmtId="0" fontId="16" fillId="6" borderId="15" xfId="3" applyFont="1" applyFill="1" applyBorder="1" applyAlignment="1">
      <alignment horizontal="center" vertical="center" wrapText="1"/>
    </xf>
    <xf numFmtId="0" fontId="13" fillId="0" borderId="15" xfId="2" applyFont="1" applyBorder="1" applyAlignment="1">
      <alignment horizontal="center" vertical="center" wrapText="1"/>
    </xf>
    <xf numFmtId="0" fontId="17" fillId="7" borderId="15" xfId="4" applyFont="1" applyFill="1" applyBorder="1" applyAlignment="1">
      <alignment horizontal="center" vertical="center" wrapText="1"/>
    </xf>
    <xf numFmtId="0" fontId="1" fillId="0" borderId="15" xfId="2" applyBorder="1" applyAlignment="1">
      <alignment horizontal="center" vertical="center" wrapText="1"/>
    </xf>
    <xf numFmtId="0" fontId="17" fillId="8" borderId="15" xfId="4" applyFont="1" applyFill="1" applyBorder="1" applyAlignment="1">
      <alignment horizontal="center" vertical="center" wrapText="1"/>
    </xf>
    <xf numFmtId="0" fontId="17" fillId="9" borderId="15" xfId="4" applyFont="1" applyFill="1" applyBorder="1" applyAlignment="1">
      <alignment horizontal="center" vertical="center" wrapText="1"/>
    </xf>
    <xf numFmtId="0" fontId="17" fillId="10" borderId="15" xfId="4" applyFont="1" applyFill="1" applyBorder="1" applyAlignment="1">
      <alignment horizontal="center" vertical="center" wrapText="1"/>
    </xf>
    <xf numFmtId="0" fontId="17" fillId="11" borderId="15" xfId="4" applyFont="1" applyFill="1" applyBorder="1" applyAlignment="1">
      <alignment horizontal="center" vertical="center" wrapText="1"/>
    </xf>
    <xf numFmtId="0" fontId="17" fillId="12" borderId="15" xfId="4" applyFont="1" applyFill="1" applyBorder="1" applyAlignment="1">
      <alignment horizontal="center" vertical="center" wrapText="1"/>
    </xf>
    <xf numFmtId="0" fontId="17" fillId="13" borderId="15" xfId="4" applyFont="1" applyFill="1" applyBorder="1" applyAlignment="1">
      <alignment horizontal="center" vertical="center" wrapText="1"/>
    </xf>
    <xf numFmtId="0" fontId="17" fillId="14" borderId="15" xfId="4" applyFont="1" applyFill="1" applyBorder="1" applyAlignment="1">
      <alignment horizontal="center" vertical="center" wrapText="1"/>
    </xf>
    <xf numFmtId="0" fontId="17" fillId="15" borderId="15" xfId="4" applyFont="1" applyFill="1" applyBorder="1" applyAlignment="1">
      <alignment horizontal="center" vertical="center" wrapText="1"/>
    </xf>
    <xf numFmtId="0" fontId="17" fillId="16" borderId="15" xfId="4" applyFont="1" applyFill="1" applyBorder="1" applyAlignment="1">
      <alignment horizontal="center" vertical="center" wrapText="1"/>
    </xf>
    <xf numFmtId="0" fontId="18" fillId="0" borderId="0" xfId="5" applyFont="1" applyAlignment="1">
      <alignment vertical="center"/>
    </xf>
    <xf numFmtId="0" fontId="19" fillId="5" borderId="0" xfId="6" applyFill="1" applyAlignment="1" applyProtection="1">
      <alignment horizontal="right" vertical="center" wrapText="1"/>
    </xf>
    <xf numFmtId="2" fontId="1" fillId="0" borderId="0" xfId="2" applyNumberFormat="1" applyAlignment="1">
      <alignment horizontal="center" vertical="center" wrapText="1"/>
    </xf>
    <xf numFmtId="10" fontId="1" fillId="0" borderId="0" xfId="2" applyNumberFormat="1" applyAlignment="1">
      <alignment horizontal="center" vertical="center" wrapText="1"/>
    </xf>
    <xf numFmtId="0" fontId="12" fillId="0" borderId="0" xfId="3" applyFont="1"/>
    <xf numFmtId="9" fontId="20" fillId="0" borderId="15" xfId="2" applyNumberFormat="1" applyFont="1" applyBorder="1" applyAlignment="1">
      <alignment horizontal="center" vertical="center" wrapText="1"/>
    </xf>
    <xf numFmtId="3" fontId="13" fillId="0" borderId="15" xfId="2" applyNumberFormat="1" applyFont="1" applyBorder="1" applyAlignment="1">
      <alignment horizontal="center" vertical="center" wrapText="1"/>
    </xf>
    <xf numFmtId="0" fontId="0" fillId="0" borderId="15" xfId="2" applyFont="1" applyBorder="1" applyAlignment="1">
      <alignment horizontal="center" vertical="center" wrapText="1"/>
    </xf>
    <xf numFmtId="0" fontId="9" fillId="0" borderId="15" xfId="2" applyFont="1" applyBorder="1" applyAlignment="1">
      <alignment horizontal="center" vertical="center" wrapText="1"/>
    </xf>
    <xf numFmtId="0" fontId="21" fillId="0" borderId="0" xfId="5" applyFont="1" applyAlignment="1">
      <alignment vertical="center"/>
    </xf>
    <xf numFmtId="0" fontId="22" fillId="0" borderId="0" xfId="2" applyFont="1" applyAlignment="1">
      <alignment horizontal="center" vertical="center" wrapText="1"/>
    </xf>
    <xf numFmtId="2" fontId="22" fillId="0" borderId="0" xfId="2" applyNumberFormat="1" applyFont="1" applyAlignment="1">
      <alignment horizontal="center" vertical="center" wrapText="1"/>
    </xf>
    <xf numFmtId="10" fontId="22" fillId="0" borderId="0" xfId="2" applyNumberFormat="1" applyFont="1" applyAlignment="1">
      <alignment horizontal="center" vertical="center" wrapText="1"/>
    </xf>
    <xf numFmtId="0" fontId="9" fillId="0" borderId="0" xfId="2" applyFont="1" applyAlignment="1">
      <alignment horizontal="center" vertical="center" wrapText="1"/>
    </xf>
    <xf numFmtId="0" fontId="1" fillId="0" borderId="0" xfId="2" applyAlignment="1">
      <alignment vertical="center"/>
    </xf>
    <xf numFmtId="0" fontId="1" fillId="0" borderId="0" xfId="2" applyAlignment="1">
      <alignment horizontal="left" vertical="center"/>
    </xf>
    <xf numFmtId="2" fontId="1" fillId="0" borderId="0" xfId="2" applyNumberFormat="1" applyAlignment="1">
      <alignment horizontal="center" vertical="center"/>
    </xf>
    <xf numFmtId="0" fontId="1" fillId="0" borderId="0" xfId="2" applyAlignment="1">
      <alignment horizontal="center" vertical="center"/>
    </xf>
    <xf numFmtId="0" fontId="14" fillId="5" borderId="0" xfId="4" applyFont="1" applyFill="1" applyAlignment="1">
      <alignment vertical="center"/>
    </xf>
    <xf numFmtId="0" fontId="13" fillId="0" borderId="0" xfId="2" applyFont="1" applyAlignment="1">
      <alignment horizontal="center" vertical="center"/>
    </xf>
    <xf numFmtId="0" fontId="20" fillId="0" borderId="15" xfId="2" applyFont="1" applyBorder="1" applyAlignment="1">
      <alignment horizontal="center" vertical="center" wrapText="1"/>
    </xf>
    <xf numFmtId="0" fontId="24" fillId="0" borderId="18" xfId="5" applyFont="1" applyBorder="1"/>
    <xf numFmtId="0" fontId="24" fillId="0" borderId="0" xfId="5" quotePrefix="1" applyFont="1" applyAlignment="1">
      <alignment horizontal="center" vertical="center" wrapText="1"/>
    </xf>
    <xf numFmtId="0" fontId="1" fillId="0" borderId="15" xfId="2" applyBorder="1" applyAlignment="1">
      <alignment horizontal="center" vertical="center"/>
    </xf>
    <xf numFmtId="0" fontId="24" fillId="0" borderId="18" xfId="5" quotePrefix="1" applyFont="1" applyBorder="1" applyAlignment="1">
      <alignment horizontal="center" vertical="center" wrapText="1"/>
    </xf>
    <xf numFmtId="0" fontId="24" fillId="0" borderId="19" xfId="5" quotePrefix="1" applyFont="1" applyBorder="1" applyAlignment="1">
      <alignment horizontal="center" vertical="center" wrapText="1"/>
    </xf>
    <xf numFmtId="0" fontId="24" fillId="0" borderId="20" xfId="5" quotePrefix="1" applyFont="1" applyBorder="1" applyAlignment="1">
      <alignment horizontal="center" vertical="center" wrapText="1"/>
    </xf>
    <xf numFmtId="0" fontId="24" fillId="0" borderId="21" xfId="5" quotePrefix="1" applyFont="1" applyBorder="1" applyAlignment="1">
      <alignment horizontal="center" vertical="center" wrapText="1"/>
    </xf>
    <xf numFmtId="0" fontId="19" fillId="5" borderId="22" xfId="6" applyFill="1" applyBorder="1" applyAlignment="1" applyProtection="1">
      <alignment horizontal="right" vertical="center" wrapText="1"/>
    </xf>
    <xf numFmtId="0" fontId="0" fillId="0" borderId="3" xfId="0" applyBorder="1" applyAlignment="1">
      <alignment horizontal="center" vertical="center"/>
    </xf>
    <xf numFmtId="0" fontId="0" fillId="0" borderId="3" xfId="0" applyBorder="1" applyAlignment="1">
      <alignment horizontal="left" vertical="center" wrapText="1"/>
    </xf>
    <xf numFmtId="0" fontId="26" fillId="0" borderId="3" xfId="0" applyFont="1" applyBorder="1" applyAlignment="1">
      <alignment horizontal="center" vertical="center" wrapText="1"/>
    </xf>
    <xf numFmtId="0" fontId="27" fillId="0" borderId="3" xfId="0" applyFont="1" applyBorder="1" applyAlignment="1">
      <alignment horizontal="center" vertical="center"/>
    </xf>
    <xf numFmtId="0" fontId="27" fillId="0" borderId="3" xfId="0" applyFont="1" applyBorder="1" applyAlignment="1">
      <alignment horizontal="left" vertical="center" wrapText="1"/>
    </xf>
    <xf numFmtId="0" fontId="27" fillId="0" borderId="3" xfId="0" applyFont="1" applyBorder="1" applyAlignment="1">
      <alignment horizontal="center" vertical="center" wrapText="1"/>
    </xf>
    <xf numFmtId="0" fontId="0" fillId="3" borderId="3" xfId="0" applyFill="1" applyBorder="1" applyAlignment="1" applyProtection="1">
      <alignment horizontal="center" vertical="center" wrapText="1"/>
      <protection locked="0"/>
    </xf>
    <xf numFmtId="0" fontId="0" fillId="0" borderId="11" xfId="0" applyBorder="1" applyProtection="1">
      <protection locked="0"/>
    </xf>
    <xf numFmtId="0" fontId="0" fillId="3" borderId="3" xfId="0" applyFill="1" applyBorder="1" applyAlignment="1" applyProtection="1">
      <alignment horizontal="center" vertical="center"/>
      <protection locked="0"/>
    </xf>
    <xf numFmtId="0" fontId="0" fillId="0" borderId="2" xfId="0" applyBorder="1" applyProtection="1">
      <protection locked="0"/>
    </xf>
    <xf numFmtId="0" fontId="0" fillId="0" borderId="10" xfId="0" applyBorder="1" applyProtection="1">
      <protection locked="0"/>
    </xf>
    <xf numFmtId="0" fontId="0" fillId="0" borderId="3" xfId="0" applyBorder="1" applyAlignment="1" applyProtection="1">
      <alignment horizontal="left" vertical="center"/>
      <protection locked="0"/>
    </xf>
    <xf numFmtId="0" fontId="7" fillId="0" borderId="3" xfId="0" applyFont="1" applyBorder="1" applyAlignment="1" applyProtection="1">
      <alignment horizontal="left"/>
      <protection locked="0"/>
    </xf>
    <xf numFmtId="0" fontId="0" fillId="3" borderId="3" xfId="0" applyFill="1" applyBorder="1" applyAlignment="1">
      <alignment horizontal="center" vertical="center" wrapText="1"/>
    </xf>
    <xf numFmtId="0" fontId="0" fillId="0" borderId="11" xfId="0" applyBorder="1" applyAlignment="1">
      <alignment horizontal="center" vertical="center" wrapText="1"/>
    </xf>
    <xf numFmtId="0" fontId="0" fillId="3" borderId="3" xfId="0" applyFill="1" applyBorder="1" applyAlignment="1" applyProtection="1">
      <alignment horizontal="center" vertical="center" textRotation="255" wrapText="1"/>
      <protection locked="0"/>
    </xf>
    <xf numFmtId="0" fontId="0" fillId="0" borderId="0" xfId="0"/>
    <xf numFmtId="0" fontId="0" fillId="0" borderId="0" xfId="0" applyAlignment="1">
      <alignment horizontal="center" vertical="center"/>
    </xf>
    <xf numFmtId="0" fontId="7" fillId="0" borderId="3" xfId="0" applyFont="1" applyBorder="1" applyAlignment="1" applyProtection="1">
      <alignment horizontal="center" vertical="center" wrapText="1"/>
      <protection locked="0"/>
    </xf>
    <xf numFmtId="0" fontId="0" fillId="0" borderId="23" xfId="0" applyBorder="1" applyProtection="1">
      <protection locked="0"/>
    </xf>
    <xf numFmtId="0" fontId="7" fillId="3" borderId="3" xfId="0" applyFont="1" applyFill="1" applyBorder="1" applyAlignment="1" applyProtection="1">
      <alignment horizontal="center" vertical="center"/>
      <protection locked="0"/>
    </xf>
    <xf numFmtId="0" fontId="7" fillId="3" borderId="3" xfId="0" applyFont="1" applyFill="1" applyBorder="1" applyAlignment="1" applyProtection="1">
      <alignment horizontal="center" vertical="center" wrapText="1"/>
      <protection locked="0"/>
    </xf>
    <xf numFmtId="0" fontId="7" fillId="0" borderId="3" xfId="0" quotePrefix="1" applyFont="1" applyBorder="1" applyAlignment="1" applyProtection="1">
      <alignment horizontal="left" vertical="center"/>
      <protection locked="0"/>
    </xf>
    <xf numFmtId="0" fontId="6" fillId="3" borderId="3" xfId="0" applyFont="1" applyFill="1" applyBorder="1" applyAlignment="1" applyProtection="1">
      <alignment horizontal="center"/>
      <protection locked="0"/>
    </xf>
    <xf numFmtId="0" fontId="5" fillId="0" borderId="0" xfId="0" applyFont="1" applyAlignment="1" applyProtection="1">
      <alignment horizontal="left" vertical="center" wrapText="1"/>
      <protection locked="0"/>
    </xf>
    <xf numFmtId="0" fontId="0" fillId="0" borderId="0" xfId="0" applyProtection="1">
      <protection locked="0"/>
    </xf>
    <xf numFmtId="0" fontId="7" fillId="0" borderId="3" xfId="0" applyFont="1" applyBorder="1" applyAlignment="1" applyProtection="1">
      <alignment horizontal="left" wrapText="1"/>
      <protection locked="0"/>
    </xf>
    <xf numFmtId="0" fontId="7" fillId="3" borderId="3" xfId="0" applyFont="1" applyFill="1" applyBorder="1" applyAlignment="1" applyProtection="1">
      <alignment horizontal="left" vertical="center"/>
      <protection locked="0"/>
    </xf>
    <xf numFmtId="0" fontId="5" fillId="0" borderId="12" xfId="0" applyFont="1" applyBorder="1" applyAlignment="1" applyProtection="1">
      <alignment horizontal="center" vertical="center" wrapText="1"/>
      <protection locked="0"/>
    </xf>
    <xf numFmtId="0" fontId="0" fillId="0" borderId="12" xfId="0" applyBorder="1" applyProtection="1">
      <protection locked="0"/>
    </xf>
    <xf numFmtId="0" fontId="7" fillId="0" borderId="3" xfId="0" applyFont="1" applyBorder="1" applyAlignment="1" applyProtection="1">
      <alignment horizontal="left" vertical="center"/>
      <protection locked="0"/>
    </xf>
    <xf numFmtId="0" fontId="2" fillId="2" borderId="0" xfId="0" applyFont="1" applyFill="1" applyAlignment="1" applyProtection="1">
      <alignment horizontal="center" vertical="center"/>
      <protection locked="0"/>
    </xf>
    <xf numFmtId="0" fontId="5" fillId="0" borderId="12" xfId="0" applyFont="1" applyBorder="1" applyAlignment="1" applyProtection="1">
      <alignment horizontal="left" vertical="center" wrapText="1"/>
      <protection locked="0"/>
    </xf>
    <xf numFmtId="0" fontId="7" fillId="3" borderId="3" xfId="0" applyFont="1" applyFill="1" applyBorder="1" applyAlignment="1" applyProtection="1">
      <alignment horizontal="left"/>
      <protection locked="0"/>
    </xf>
    <xf numFmtId="0" fontId="25" fillId="0" borderId="15" xfId="5" applyFont="1" applyBorder="1" applyAlignment="1">
      <alignment horizontal="center" vertical="center" textRotation="90" wrapText="1"/>
    </xf>
    <xf numFmtId="0" fontId="0" fillId="0" borderId="17" xfId="0" applyBorder="1"/>
    <xf numFmtId="0" fontId="0" fillId="0" borderId="16" xfId="0" applyBorder="1"/>
    <xf numFmtId="0" fontId="16" fillId="6" borderId="15" xfId="3" applyFont="1" applyFill="1" applyBorder="1" applyAlignment="1">
      <alignment horizontal="center" vertical="center" wrapText="1"/>
    </xf>
    <xf numFmtId="0" fontId="14" fillId="5" borderId="15" xfId="4" applyFont="1" applyFill="1" applyBorder="1" applyAlignment="1">
      <alignment horizontal="center" vertical="center" wrapText="1"/>
    </xf>
    <xf numFmtId="0" fontId="0" fillId="0" borderId="13" xfId="0" applyBorder="1"/>
    <xf numFmtId="0" fontId="0" fillId="0" borderId="14" xfId="0" applyBorder="1"/>
    <xf numFmtId="0" fontId="15" fillId="6" borderId="15" xfId="3" applyFont="1" applyFill="1" applyBorder="1" applyAlignment="1">
      <alignment horizontal="center" vertical="center" wrapText="1"/>
    </xf>
    <xf numFmtId="0" fontId="13" fillId="0" borderId="15" xfId="2" applyFont="1" applyBorder="1" applyAlignment="1">
      <alignment horizontal="center" vertical="center" wrapText="1"/>
    </xf>
    <xf numFmtId="0" fontId="9" fillId="0" borderId="0" xfId="2" applyFont="1" applyAlignment="1">
      <alignment horizontal="center" vertical="center" wrapText="1"/>
    </xf>
    <xf numFmtId="0" fontId="1" fillId="0" borderId="0" xfId="2" applyAlignment="1">
      <alignment horizontal="center" vertical="center" wrapText="1"/>
    </xf>
    <xf numFmtId="0" fontId="23" fillId="0" borderId="0" xfId="2" applyFont="1" applyAlignment="1">
      <alignment horizontal="left" vertical="center" wrapText="1"/>
    </xf>
    <xf numFmtId="2" fontId="1" fillId="0" borderId="0" xfId="2" applyNumberFormat="1" applyAlignment="1">
      <alignment horizontal="center" vertical="center" wrapText="1"/>
    </xf>
    <xf numFmtId="10" fontId="1" fillId="0" borderId="0" xfId="2" applyNumberFormat="1" applyAlignment="1">
      <alignment horizontal="center" vertical="center" wrapText="1"/>
    </xf>
    <xf numFmtId="0" fontId="0" fillId="0" borderId="25" xfId="0" quotePrefix="1" applyBorder="1" applyAlignment="1">
      <alignment horizontal="left" wrapText="1"/>
    </xf>
    <xf numFmtId="0" fontId="0" fillId="0" borderId="7" xfId="0" applyBorder="1"/>
    <xf numFmtId="0" fontId="0" fillId="0" borderId="24" xfId="0" quotePrefix="1" applyBorder="1" applyAlignment="1">
      <alignment horizontal="left" wrapText="1"/>
    </xf>
    <xf numFmtId="0" fontId="0" fillId="0" borderId="9" xfId="0" applyBorder="1"/>
    <xf numFmtId="0" fontId="0" fillId="12" borderId="3" xfId="0" applyFill="1" applyBorder="1" applyAlignment="1" applyProtection="1">
      <alignment vertical="center" wrapText="1"/>
      <protection locked="0"/>
    </xf>
  </cellXfs>
  <cellStyles count="7">
    <cellStyle name="Hyperlink 2" xfId="6" xr:uid="{00000000-0005-0000-0000-000006000000}"/>
    <cellStyle name="Normal" xfId="0" builtinId="0"/>
    <cellStyle name="Normal 2" xfId="1" xr:uid="{00000000-0005-0000-0000-000001000000}"/>
    <cellStyle name="Normal 21" xfId="3" xr:uid="{00000000-0005-0000-0000-000003000000}"/>
    <cellStyle name="Normal 23" xfId="2" xr:uid="{00000000-0005-0000-0000-000002000000}"/>
    <cellStyle name="Normal 3" xfId="5" xr:uid="{00000000-0005-0000-0000-000005000000}"/>
    <cellStyle name="Normal_DFMEA Explainit" xfId="4" xr:uid="{00000000-0005-0000-0000-000004000000}"/>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16</xdr:col>
      <xdr:colOff>133350</xdr:colOff>
      <xdr:row>0</xdr:row>
      <xdr:rowOff>34637</xdr:rowOff>
    </xdr:from>
    <xdr:to>
      <xdr:col>17</xdr:col>
      <xdr:colOff>327001</xdr:colOff>
      <xdr:row>2</xdr:row>
      <xdr:rowOff>132656</xdr:rowOff>
    </xdr:to>
    <xdr:pic>
      <xdr:nvPicPr>
        <xdr:cNvPr id="1025" name="Picture 1" descr="asq_logo">
          <a:extLst>
            <a:ext uri="{FF2B5EF4-FFF2-40B4-BE49-F238E27FC236}">
              <a16:creationId xmlns:a16="http://schemas.microsoft.com/office/drawing/2014/main" id="{00000000-0008-0000-0100-000001040000}"/>
            </a:ext>
          </a:extLst>
        </xdr:cNvPr>
        <xdr:cNvPicPr>
          <a:picLocks noChangeAspect="1" noChangeArrowheads="1"/>
        </xdr:cNvPicPr>
      </xdr:nvPicPr>
      <xdr:blipFill>
        <a:blip xmlns:r="http://schemas.openxmlformats.org/officeDocument/2006/relationships" r:embed="rId1"/>
        <a:srcRect l="25000" t="14125" r="27499" b="11864"/>
        <a:stretch>
          <a:fillRect/>
        </a:stretch>
      </xdr:blipFill>
      <xdr:spPr bwMode="auto">
        <a:xfrm>
          <a:off x="12658725" y="34637"/>
          <a:ext cx="395581" cy="680949"/>
        </a:xfrm>
        <a:prstGeom prst="rect">
          <a:avLst/>
        </a:prstGeom>
        <a:noFill/>
        <a:ln>
          <a:prstDash val="solid"/>
        </a:ln>
      </xdr:spPr>
    </xdr:pic>
    <xdr:clientData/>
  </xdr:twoCellAnchor>
  <xdr:twoCellAnchor editAs="oneCell">
    <xdr:from>
      <xdr:col>11</xdr:col>
      <xdr:colOff>0</xdr:colOff>
      <xdr:row>0</xdr:row>
      <xdr:rowOff>28575</xdr:rowOff>
    </xdr:from>
    <xdr:to>
      <xdr:col>12</xdr:col>
      <xdr:colOff>969466</xdr:colOff>
      <xdr:row>3</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9115425" y="28575"/>
          <a:ext cx="2081986" cy="7048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7180" y="0"/>
          <a:ext cx="573742" cy="274544"/>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592792</xdr:colOff>
      <xdr:row>0</xdr:row>
      <xdr:rowOff>303119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0510" y="28575"/>
          <a:ext cx="573742" cy="274544"/>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28600" y="0"/>
          <a:ext cx="573742" cy="274544"/>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AfterMarket%20CBG\SDARS%20DLP\SDARS%20move%20NPtoAlt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1"/>
      <sheetName val="Changes"/>
      <sheetName val="MBO_Changes"/>
      <sheetName val="Summary"/>
      <sheetName val="Input"/>
      <sheetName val="Output"/>
      <sheetName val="8-bin"/>
      <sheetName val="P&amp;L"/>
      <sheetName val="Forex Anal"/>
      <sheetName val="Exch"/>
      <sheetName val="Plant Data"/>
      <sheetName val="OEM-Engr-Product Data"/>
      <sheetName val="Index"/>
      <sheetName val="Instructions"/>
      <sheetName val="Deviation"/>
      <sheetName val="Change Recor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workbookViewId="0">
      <selection activeCell="B29" sqref="B29"/>
    </sheetView>
  </sheetViews>
  <sheetFormatPr defaultRowHeight="14.4" x14ac:dyDescent="0.3"/>
  <cols>
    <col min="1" max="1" width="8.88671875" style="37" customWidth="1"/>
    <col min="2" max="2" width="185.21875" style="37" bestFit="1" customWidth="1"/>
    <col min="3" max="3" width="8.88671875" style="37" customWidth="1"/>
    <col min="4" max="16384" width="8.88671875" style="37"/>
  </cols>
  <sheetData>
    <row r="1" spans="2:2" x14ac:dyDescent="0.3">
      <c r="B1" s="36" t="s">
        <v>100</v>
      </c>
    </row>
    <row r="2" spans="2:2" x14ac:dyDescent="0.3">
      <c r="B2" s="37" t="s">
        <v>101</v>
      </c>
    </row>
    <row r="3" spans="2:2" x14ac:dyDescent="0.3">
      <c r="B3" s="37" t="s">
        <v>102</v>
      </c>
    </row>
    <row r="4" spans="2:2" x14ac:dyDescent="0.3">
      <c r="B4" s="37" t="s">
        <v>103</v>
      </c>
    </row>
    <row r="5" spans="2:2" x14ac:dyDescent="0.3">
      <c r="B5" s="37" t="s">
        <v>104</v>
      </c>
    </row>
    <row r="6" spans="2:2" x14ac:dyDescent="0.3">
      <c r="B6" s="37" t="s">
        <v>105</v>
      </c>
    </row>
    <row r="7" spans="2:2" x14ac:dyDescent="0.3">
      <c r="B7" s="37" t="s">
        <v>106</v>
      </c>
    </row>
    <row r="8" spans="2:2" x14ac:dyDescent="0.3">
      <c r="B8" s="37" t="s">
        <v>107</v>
      </c>
    </row>
    <row r="9" spans="2:2" x14ac:dyDescent="0.3">
      <c r="B9" s="37" t="s">
        <v>108</v>
      </c>
    </row>
    <row r="10" spans="2:2" x14ac:dyDescent="0.3">
      <c r="B10" s="37" t="s">
        <v>109</v>
      </c>
    </row>
    <row r="11" spans="2:2" x14ac:dyDescent="0.3">
      <c r="B11" s="37" t="s">
        <v>110</v>
      </c>
    </row>
    <row r="12" spans="2:2" x14ac:dyDescent="0.3">
      <c r="B12" s="37" t="s">
        <v>111</v>
      </c>
    </row>
    <row r="13" spans="2:2" x14ac:dyDescent="0.3">
      <c r="B13" s="37" t="s">
        <v>112</v>
      </c>
    </row>
    <row r="14" spans="2:2" x14ac:dyDescent="0.3">
      <c r="B14" s="37" t="s">
        <v>113</v>
      </c>
    </row>
    <row r="15" spans="2:2" x14ac:dyDescent="0.3">
      <c r="B15" s="37" t="s">
        <v>114</v>
      </c>
    </row>
    <row r="16" spans="2:2" x14ac:dyDescent="0.3">
      <c r="B16" s="37" t="s">
        <v>115</v>
      </c>
    </row>
    <row r="17" spans="1:2" x14ac:dyDescent="0.3">
      <c r="B17" s="37" t="s">
        <v>116</v>
      </c>
    </row>
    <row r="18" spans="1:2" x14ac:dyDescent="0.3">
      <c r="B18" s="37" t="s">
        <v>117</v>
      </c>
    </row>
    <row r="21" spans="1:2" x14ac:dyDescent="0.3">
      <c r="B21" s="36" t="s">
        <v>118</v>
      </c>
    </row>
    <row r="22" spans="1:2" x14ac:dyDescent="0.3">
      <c r="A22" s="37">
        <v>1</v>
      </c>
      <c r="B22" s="38" t="s">
        <v>119</v>
      </c>
    </row>
    <row r="23" spans="1:2" x14ac:dyDescent="0.3">
      <c r="A23" s="37">
        <v>2</v>
      </c>
      <c r="B23" s="38" t="s">
        <v>120</v>
      </c>
    </row>
    <row r="24" spans="1:2" x14ac:dyDescent="0.3">
      <c r="A24" s="37">
        <v>3</v>
      </c>
      <c r="B24" s="38" t="s">
        <v>121</v>
      </c>
    </row>
    <row r="25" spans="1:2" ht="28.8" customHeight="1" x14ac:dyDescent="0.3">
      <c r="A25" s="37">
        <v>4</v>
      </c>
      <c r="B25" s="38" t="s">
        <v>122</v>
      </c>
    </row>
    <row r="26" spans="1:2" ht="28.8" customHeight="1" x14ac:dyDescent="0.3">
      <c r="B26" s="38" t="s">
        <v>123</v>
      </c>
    </row>
    <row r="27" spans="1:2" ht="43.2" customHeight="1" x14ac:dyDescent="0.3">
      <c r="A27" s="37">
        <v>6</v>
      </c>
      <c r="B27" s="38" t="s">
        <v>124</v>
      </c>
    </row>
    <row r="28" spans="1:2" ht="28.8" customHeight="1" x14ac:dyDescent="0.3">
      <c r="A28" s="37">
        <v>7</v>
      </c>
      <c r="B28" s="38"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tabSelected="1" topLeftCell="A4" zoomScaleNormal="100" workbookViewId="0">
      <selection activeCell="C21" sqref="C21"/>
    </sheetView>
  </sheetViews>
  <sheetFormatPr defaultRowHeight="13.2" x14ac:dyDescent="0.25"/>
  <cols>
    <col min="1" max="1" width="16.6640625" customWidth="1"/>
    <col min="2" max="2" width="25.6640625" customWidth="1"/>
    <col min="3" max="3" width="50" customWidth="1"/>
    <col min="4" max="4" width="3.109375" style="1" bestFit="1" customWidth="1"/>
    <col min="5" max="5" width="15" customWidth="1"/>
    <col min="6" max="7" width="50" customWidth="1"/>
    <col min="8" max="8" width="5.44140625" style="1" customWidth="1"/>
    <col min="9" max="9" width="15.6640625" customWidth="1"/>
    <col min="10" max="10" width="5.109375" customWidth="1"/>
    <col min="11" max="11" width="50" style="1" customWidth="1"/>
    <col min="12" max="12" width="16.5546875" customWidth="1"/>
    <col min="13" max="13" width="15" customWidth="1"/>
    <col min="14" max="14" width="50" style="1" customWidth="1"/>
    <col min="15" max="15" width="3.109375" style="1" bestFit="1" customWidth="1"/>
    <col min="16" max="16" width="25" customWidth="1"/>
    <col min="17" max="17" width="3.109375" style="1" bestFit="1" customWidth="1"/>
    <col min="18" max="18" width="5" style="1" customWidth="1"/>
  </cols>
  <sheetData>
    <row r="1" spans="1:23" ht="30.6" customHeight="1" x14ac:dyDescent="0.5">
      <c r="A1" s="116" t="s">
        <v>0</v>
      </c>
      <c r="B1" s="110"/>
      <c r="C1" s="110"/>
      <c r="D1" s="18"/>
      <c r="G1" s="18"/>
      <c r="H1" s="34" t="s">
        <v>1</v>
      </c>
      <c r="I1" s="34"/>
      <c r="J1" s="18"/>
      <c r="K1" s="19"/>
      <c r="L1" s="19"/>
      <c r="O1" s="18"/>
      <c r="Q1" s="19"/>
      <c r="R1" s="19"/>
      <c r="S1" s="18"/>
      <c r="T1" s="18"/>
      <c r="U1" s="18"/>
      <c r="V1" s="18"/>
      <c r="W1" s="18"/>
    </row>
    <row r="2" spans="1:23" ht="16.2" customHeight="1" x14ac:dyDescent="0.3">
      <c r="A2" s="20" t="s">
        <v>2</v>
      </c>
      <c r="B2" s="19"/>
      <c r="C2" s="19"/>
      <c r="D2" s="18"/>
      <c r="G2" s="19"/>
      <c r="H2" s="19"/>
      <c r="I2" s="19"/>
      <c r="J2" s="18"/>
      <c r="K2" s="19"/>
      <c r="L2" s="19"/>
      <c r="O2" s="18"/>
      <c r="Q2" s="19"/>
      <c r="R2" s="19"/>
      <c r="S2" s="18"/>
      <c r="T2" s="18"/>
      <c r="U2" s="18"/>
      <c r="V2" s="18"/>
      <c r="W2" s="18"/>
    </row>
    <row r="3" spans="1:23" ht="13.8" customHeight="1" thickBot="1" x14ac:dyDescent="0.3">
      <c r="A3" s="21" t="s">
        <v>3</v>
      </c>
      <c r="B3" s="22"/>
      <c r="C3" s="22"/>
      <c r="D3" s="18"/>
      <c r="G3" s="21" t="s">
        <v>4</v>
      </c>
      <c r="H3" s="22"/>
      <c r="I3" s="22"/>
      <c r="J3" s="22"/>
      <c r="K3" s="22"/>
      <c r="L3" s="22"/>
      <c r="O3" s="18"/>
      <c r="Q3" s="19"/>
      <c r="R3" s="19"/>
      <c r="S3" s="18"/>
      <c r="T3" s="18"/>
      <c r="U3" s="18"/>
      <c r="V3" s="18"/>
      <c r="W3" s="18"/>
    </row>
    <row r="4" spans="1:23" ht="21" customHeight="1" x14ac:dyDescent="0.25">
      <c r="A4" s="113" t="s">
        <v>5</v>
      </c>
      <c r="B4" s="114"/>
      <c r="C4" s="114"/>
      <c r="D4" s="18"/>
      <c r="G4" s="23" t="s">
        <v>6</v>
      </c>
      <c r="H4" s="117" t="s">
        <v>7</v>
      </c>
      <c r="I4" s="114"/>
      <c r="J4" s="114"/>
      <c r="K4" s="35"/>
      <c r="L4" s="24"/>
      <c r="O4" s="18"/>
      <c r="Q4" s="96" t="s">
        <v>8</v>
      </c>
      <c r="R4" s="94"/>
      <c r="S4" s="94"/>
      <c r="T4" s="94"/>
      <c r="U4" s="95"/>
      <c r="V4" s="96" t="s">
        <v>9</v>
      </c>
      <c r="W4" s="95"/>
    </row>
    <row r="5" spans="1:23" x14ac:dyDescent="0.25">
      <c r="A5" s="110"/>
      <c r="B5" s="110"/>
      <c r="C5" s="110"/>
      <c r="D5" s="25"/>
      <c r="G5" s="23" t="s">
        <v>6</v>
      </c>
      <c r="H5" s="109" t="s">
        <v>10</v>
      </c>
      <c r="I5" s="110"/>
      <c r="J5" s="110"/>
      <c r="K5" s="35"/>
      <c r="L5" s="24"/>
      <c r="O5" s="25"/>
      <c r="Q5" s="96" t="s">
        <v>11</v>
      </c>
      <c r="R5" s="94"/>
      <c r="S5" s="94"/>
      <c r="T5" s="94"/>
      <c r="U5" s="94"/>
      <c r="V5" s="95"/>
      <c r="W5" s="26">
        <v>200</v>
      </c>
    </row>
    <row r="6" spans="1:23" ht="31.5" customHeight="1" x14ac:dyDescent="0.25">
      <c r="A6" s="110"/>
      <c r="B6" s="110"/>
      <c r="C6" s="110"/>
      <c r="D6" s="25"/>
      <c r="G6" s="23" t="s">
        <v>6</v>
      </c>
      <c r="H6" s="109" t="s">
        <v>12</v>
      </c>
      <c r="I6" s="110"/>
      <c r="J6" s="110"/>
      <c r="K6" s="35"/>
      <c r="L6" s="24"/>
      <c r="O6" s="18"/>
      <c r="Q6" s="96" t="s">
        <v>13</v>
      </c>
      <c r="R6" s="94"/>
      <c r="S6" s="94"/>
      <c r="T6" s="94"/>
      <c r="U6" s="94"/>
      <c r="V6" s="95"/>
      <c r="W6" s="26">
        <v>8</v>
      </c>
    </row>
    <row r="7" spans="1:23" ht="15.6" customHeight="1" x14ac:dyDescent="0.3">
      <c r="A7" s="108" t="s">
        <v>14</v>
      </c>
      <c r="B7" s="94"/>
      <c r="C7" s="94"/>
      <c r="D7" s="94"/>
      <c r="E7" s="101"/>
      <c r="F7" s="101"/>
      <c r="G7" s="94"/>
      <c r="H7" s="94"/>
      <c r="I7" s="94"/>
      <c r="J7" s="94"/>
      <c r="K7" s="94"/>
      <c r="L7" s="94"/>
      <c r="M7" s="101"/>
      <c r="N7" s="102"/>
      <c r="O7" s="94"/>
      <c r="P7" s="101"/>
      <c r="Q7" s="94"/>
      <c r="R7" s="94"/>
      <c r="S7" s="94"/>
      <c r="T7" s="94"/>
      <c r="U7" s="94"/>
      <c r="V7" s="94"/>
      <c r="W7" s="95"/>
    </row>
    <row r="8" spans="1:23" x14ac:dyDescent="0.25">
      <c r="A8" s="27" t="s">
        <v>15</v>
      </c>
      <c r="B8" s="97" t="s">
        <v>16</v>
      </c>
      <c r="C8" s="94"/>
      <c r="D8" s="95"/>
      <c r="G8" s="28"/>
      <c r="H8" s="112" t="s">
        <v>17</v>
      </c>
      <c r="I8" s="94"/>
      <c r="J8" s="95"/>
      <c r="K8" s="97" t="s">
        <v>18</v>
      </c>
      <c r="L8" s="94"/>
      <c r="M8" s="101"/>
      <c r="N8" s="102"/>
      <c r="O8" s="95"/>
      <c r="Q8" s="28"/>
      <c r="R8" s="27" t="s">
        <v>19</v>
      </c>
      <c r="S8" s="97" t="s">
        <v>20</v>
      </c>
      <c r="T8" s="94"/>
      <c r="U8" s="94"/>
      <c r="V8" s="94"/>
      <c r="W8" s="95"/>
    </row>
    <row r="9" spans="1:23" x14ac:dyDescent="0.25">
      <c r="A9" s="27" t="s">
        <v>3</v>
      </c>
      <c r="B9" s="97" t="s">
        <v>21</v>
      </c>
      <c r="C9" s="94"/>
      <c r="D9" s="95"/>
      <c r="G9" s="29"/>
      <c r="H9" s="118" t="s">
        <v>22</v>
      </c>
      <c r="I9" s="94"/>
      <c r="J9" s="95"/>
      <c r="K9" s="97" t="s">
        <v>23</v>
      </c>
      <c r="L9" s="94"/>
      <c r="M9" s="101"/>
      <c r="N9" s="102"/>
      <c r="O9" s="95"/>
      <c r="Q9" s="28"/>
      <c r="R9" s="27" t="s">
        <v>24</v>
      </c>
      <c r="S9" s="115"/>
      <c r="T9" s="94"/>
      <c r="U9" s="94"/>
      <c r="V9" s="94"/>
      <c r="W9" s="95"/>
    </row>
    <row r="10" spans="1:23" x14ac:dyDescent="0.25">
      <c r="A10" s="27" t="s">
        <v>25</v>
      </c>
      <c r="B10" s="111" t="s">
        <v>26</v>
      </c>
      <c r="C10" s="94"/>
      <c r="D10" s="94"/>
      <c r="E10" s="101"/>
      <c r="F10" s="101"/>
      <c r="G10" s="94"/>
      <c r="H10" s="94"/>
      <c r="I10" s="94"/>
      <c r="J10" s="94"/>
      <c r="K10" s="94"/>
      <c r="L10" s="94"/>
      <c r="M10" s="101"/>
      <c r="N10" s="102"/>
      <c r="O10" s="95"/>
      <c r="Q10" s="28"/>
      <c r="R10" s="27" t="s">
        <v>27</v>
      </c>
      <c r="S10" s="30">
        <v>46270</v>
      </c>
      <c r="T10" s="105" t="s">
        <v>28</v>
      </c>
      <c r="U10" s="95"/>
      <c r="V10" s="107"/>
      <c r="W10" s="95"/>
    </row>
    <row r="11" spans="1:23" x14ac:dyDescent="0.25">
      <c r="A11" s="28"/>
      <c r="B11" s="28"/>
      <c r="C11" s="28"/>
      <c r="D11" s="31"/>
      <c r="G11" s="28"/>
      <c r="H11" s="28"/>
      <c r="I11" s="28"/>
      <c r="J11" s="31"/>
      <c r="K11" s="28"/>
      <c r="L11" s="28"/>
      <c r="O11" s="31"/>
      <c r="Q11" s="28"/>
      <c r="R11" s="27" t="s">
        <v>29</v>
      </c>
      <c r="S11" s="30">
        <v>46270</v>
      </c>
      <c r="T11" s="105" t="s">
        <v>28</v>
      </c>
      <c r="U11" s="95"/>
      <c r="V11" s="107"/>
      <c r="W11" s="95"/>
    </row>
    <row r="12" spans="1:23" x14ac:dyDescent="0.25">
      <c r="A12" s="106" t="s">
        <v>30</v>
      </c>
      <c r="B12" s="91" t="s">
        <v>31</v>
      </c>
      <c r="C12" s="91" t="s">
        <v>32</v>
      </c>
      <c r="D12" s="100" t="s">
        <v>33</v>
      </c>
      <c r="E12" s="98" t="s">
        <v>34</v>
      </c>
      <c r="F12" s="98" t="s">
        <v>35</v>
      </c>
      <c r="G12" s="100" t="s">
        <v>36</v>
      </c>
      <c r="H12" s="91" t="s">
        <v>37</v>
      </c>
      <c r="I12" s="91" t="s">
        <v>38</v>
      </c>
      <c r="J12" s="100" t="s">
        <v>39</v>
      </c>
      <c r="K12" s="91" t="s">
        <v>40</v>
      </c>
      <c r="L12" s="100" t="s">
        <v>41</v>
      </c>
      <c r="M12" s="98" t="s">
        <v>42</v>
      </c>
      <c r="N12" s="98" t="s">
        <v>43</v>
      </c>
      <c r="O12" s="100" t="s">
        <v>44</v>
      </c>
      <c r="P12" s="98" t="s">
        <v>45</v>
      </c>
      <c r="Q12" s="91" t="s">
        <v>46</v>
      </c>
      <c r="R12" s="91" t="s">
        <v>47</v>
      </c>
      <c r="S12" s="93" t="s">
        <v>48</v>
      </c>
      <c r="T12" s="94"/>
      <c r="U12" s="94"/>
      <c r="V12" s="94"/>
      <c r="W12" s="95"/>
    </row>
    <row r="13" spans="1:23" ht="54" customHeight="1" x14ac:dyDescent="0.25">
      <c r="A13" s="92"/>
      <c r="B13" s="92"/>
      <c r="C13" s="92"/>
      <c r="D13" s="92"/>
      <c r="E13" s="99"/>
      <c r="F13" s="99"/>
      <c r="G13" s="92"/>
      <c r="H13" s="92"/>
      <c r="I13" s="92"/>
      <c r="J13" s="92"/>
      <c r="K13" s="92"/>
      <c r="L13" s="92"/>
      <c r="M13" s="99"/>
      <c r="N13" s="99"/>
      <c r="O13" s="92"/>
      <c r="P13" s="99"/>
      <c r="Q13" s="92"/>
      <c r="R13" s="92"/>
      <c r="S13" s="32" t="s">
        <v>49</v>
      </c>
      <c r="T13" s="33" t="s">
        <v>33</v>
      </c>
      <c r="U13" s="33" t="s">
        <v>39</v>
      </c>
      <c r="V13" s="33" t="s">
        <v>41</v>
      </c>
      <c r="W13" s="33" t="s">
        <v>44</v>
      </c>
    </row>
    <row r="14" spans="1:23" ht="92.4" customHeight="1" x14ac:dyDescent="0.25">
      <c r="A14" s="103" t="s">
        <v>50</v>
      </c>
      <c r="B14" s="16" t="s">
        <v>51</v>
      </c>
      <c r="C14" s="13" t="s">
        <v>52</v>
      </c>
      <c r="D14" s="14">
        <v>7</v>
      </c>
      <c r="E14" s="85">
        <v>7</v>
      </c>
      <c r="F14" s="86" t="s">
        <v>53</v>
      </c>
      <c r="G14" s="13"/>
      <c r="H14" s="13" t="s">
        <v>54</v>
      </c>
      <c r="I14" s="13" t="s">
        <v>55</v>
      </c>
      <c r="J14" s="14">
        <v>2</v>
      </c>
      <c r="K14" s="13" t="s">
        <v>56</v>
      </c>
      <c r="L14" s="14">
        <v>2</v>
      </c>
      <c r="M14" s="85">
        <v>2</v>
      </c>
      <c r="N14" s="86" t="s">
        <v>57</v>
      </c>
      <c r="O14" s="2" t="e">
        <f t="shared" ref="O14:O23" si="0">D14*H14*J14</f>
        <v>#VALUE!</v>
      </c>
      <c r="P14" s="87" t="s">
        <v>58</v>
      </c>
      <c r="Q14" s="13"/>
      <c r="R14" s="13"/>
      <c r="S14" s="14"/>
      <c r="T14" s="14"/>
      <c r="U14" s="14"/>
      <c r="V14" s="14"/>
      <c r="W14" s="2" t="e">
        <f t="shared" ref="W14:W23" si="1">IF(O14*P14*Q14&gt;0,O14*P14*Q14,K14)</f>
        <v>#VALUE!</v>
      </c>
    </row>
    <row r="15" spans="1:23" ht="79.2" customHeight="1" x14ac:dyDescent="0.25">
      <c r="A15" s="104"/>
      <c r="B15" s="13" t="s">
        <v>59</v>
      </c>
      <c r="C15" s="13" t="s">
        <v>60</v>
      </c>
      <c r="D15" s="14">
        <v>5</v>
      </c>
      <c r="E15" s="88">
        <v>7</v>
      </c>
      <c r="F15" s="89" t="s">
        <v>61</v>
      </c>
      <c r="G15" s="13" t="s">
        <v>62</v>
      </c>
      <c r="H15" s="13" t="s">
        <v>63</v>
      </c>
      <c r="I15" s="13" t="s">
        <v>64</v>
      </c>
      <c r="J15" s="14">
        <v>2</v>
      </c>
      <c r="K15" s="13" t="s">
        <v>65</v>
      </c>
      <c r="L15" s="14">
        <v>5</v>
      </c>
      <c r="M15" s="88">
        <v>2</v>
      </c>
      <c r="N15" s="89" t="s">
        <v>66</v>
      </c>
      <c r="O15" s="2" t="e">
        <f t="shared" si="0"/>
        <v>#VALUE!</v>
      </c>
      <c r="P15" s="87" t="s">
        <v>58</v>
      </c>
      <c r="Q15" s="13"/>
      <c r="R15" s="13"/>
      <c r="S15" s="14"/>
      <c r="T15" s="14"/>
      <c r="U15" s="14"/>
      <c r="V15" s="14"/>
      <c r="W15" s="2" t="e">
        <f t="shared" si="1"/>
        <v>#VALUE!</v>
      </c>
    </row>
    <row r="16" spans="1:23" ht="118.8" customHeight="1" x14ac:dyDescent="0.25">
      <c r="A16" s="92"/>
      <c r="B16" s="15" t="s">
        <v>67</v>
      </c>
      <c r="C16" s="137" t="s">
        <v>68</v>
      </c>
      <c r="D16" s="14">
        <v>9</v>
      </c>
      <c r="E16" s="88">
        <v>9</v>
      </c>
      <c r="F16" s="89" t="s">
        <v>69</v>
      </c>
      <c r="G16" s="13"/>
      <c r="H16" s="13" t="s">
        <v>54</v>
      </c>
      <c r="I16" s="13" t="s">
        <v>55</v>
      </c>
      <c r="J16" s="14">
        <v>2</v>
      </c>
      <c r="K16" s="13" t="s">
        <v>65</v>
      </c>
      <c r="L16" s="14">
        <v>5</v>
      </c>
      <c r="M16" s="88">
        <v>2</v>
      </c>
      <c r="N16" s="89" t="s">
        <v>66</v>
      </c>
      <c r="O16" s="2" t="e">
        <f t="shared" si="0"/>
        <v>#VALUE!</v>
      </c>
      <c r="P16" s="87" t="s">
        <v>58</v>
      </c>
      <c r="Q16" s="13"/>
      <c r="R16" s="13"/>
      <c r="S16" s="14"/>
      <c r="T16" s="14"/>
      <c r="U16" s="14"/>
      <c r="V16" s="14"/>
      <c r="W16" s="2" t="e">
        <f t="shared" si="1"/>
        <v>#VALUE!</v>
      </c>
    </row>
    <row r="17" spans="1:23" ht="105.6" customHeight="1" x14ac:dyDescent="0.25">
      <c r="A17" s="13"/>
      <c r="B17" s="13"/>
      <c r="C17" s="13" t="s">
        <v>70</v>
      </c>
      <c r="D17" s="14">
        <v>5</v>
      </c>
      <c r="E17" s="85">
        <v>5</v>
      </c>
      <c r="F17" s="86" t="s">
        <v>53</v>
      </c>
      <c r="G17" s="13"/>
      <c r="H17" s="16" t="s">
        <v>71</v>
      </c>
      <c r="I17" s="16" t="s">
        <v>72</v>
      </c>
      <c r="J17" s="14">
        <v>4</v>
      </c>
      <c r="K17" s="13" t="s">
        <v>73</v>
      </c>
      <c r="L17" s="14">
        <v>3</v>
      </c>
      <c r="M17" s="88">
        <v>9</v>
      </c>
      <c r="N17" s="89" t="s">
        <v>74</v>
      </c>
      <c r="O17" s="2" t="e">
        <f t="shared" si="0"/>
        <v>#VALUE!</v>
      </c>
      <c r="P17" s="87" t="s">
        <v>58</v>
      </c>
      <c r="Q17" s="13"/>
      <c r="R17" s="13"/>
      <c r="S17" s="14"/>
      <c r="T17" s="14"/>
      <c r="U17" s="14"/>
      <c r="V17" s="14"/>
      <c r="W17" s="2" t="e">
        <f t="shared" si="1"/>
        <v>#VALUE!</v>
      </c>
    </row>
    <row r="18" spans="1:23" ht="79.2" customHeight="1" x14ac:dyDescent="0.25">
      <c r="A18" s="13"/>
      <c r="B18" s="13"/>
      <c r="C18" s="13" t="s">
        <v>75</v>
      </c>
      <c r="D18" s="14">
        <v>4</v>
      </c>
      <c r="E18" s="85">
        <v>4</v>
      </c>
      <c r="F18" s="86" t="s">
        <v>53</v>
      </c>
      <c r="G18" s="13"/>
      <c r="H18" s="13" t="s">
        <v>76</v>
      </c>
      <c r="I18" s="13" t="s">
        <v>77</v>
      </c>
      <c r="J18" s="14">
        <v>2</v>
      </c>
      <c r="K18" s="13" t="s">
        <v>78</v>
      </c>
      <c r="L18" s="14">
        <v>8</v>
      </c>
      <c r="M18" s="88">
        <v>3</v>
      </c>
      <c r="N18" s="89" t="s">
        <v>79</v>
      </c>
      <c r="O18" s="2" t="e">
        <f t="shared" si="0"/>
        <v>#VALUE!</v>
      </c>
      <c r="P18" s="87" t="s">
        <v>58</v>
      </c>
      <c r="Q18" s="13"/>
      <c r="R18" s="13"/>
      <c r="S18" s="14"/>
      <c r="T18" s="14"/>
      <c r="U18" s="14"/>
      <c r="V18" s="14"/>
      <c r="W18" s="2" t="e">
        <f t="shared" si="1"/>
        <v>#VALUE!</v>
      </c>
    </row>
    <row r="19" spans="1:23" ht="105.6" customHeight="1" x14ac:dyDescent="0.25">
      <c r="A19" s="13"/>
      <c r="B19" s="13"/>
      <c r="C19" s="15" t="s">
        <v>80</v>
      </c>
      <c r="D19" s="14">
        <v>7</v>
      </c>
      <c r="E19" s="88">
        <v>8</v>
      </c>
      <c r="F19" s="89" t="s">
        <v>81</v>
      </c>
      <c r="G19" s="13"/>
      <c r="H19" s="13" t="s">
        <v>82</v>
      </c>
      <c r="I19" s="16" t="s">
        <v>83</v>
      </c>
      <c r="J19" s="14">
        <v>1</v>
      </c>
      <c r="K19" s="13" t="s">
        <v>84</v>
      </c>
      <c r="L19" s="14">
        <v>5</v>
      </c>
      <c r="M19" s="85">
        <v>5</v>
      </c>
      <c r="N19" s="86" t="s">
        <v>57</v>
      </c>
      <c r="O19" s="2" t="e">
        <f t="shared" si="0"/>
        <v>#VALUE!</v>
      </c>
      <c r="P19" s="87" t="s">
        <v>58</v>
      </c>
      <c r="Q19" s="13"/>
      <c r="R19" s="13"/>
      <c r="S19" s="14"/>
      <c r="T19" s="14"/>
      <c r="U19" s="14"/>
      <c r="V19" s="14"/>
      <c r="W19" s="2" t="e">
        <f t="shared" si="1"/>
        <v>#VALUE!</v>
      </c>
    </row>
    <row r="20" spans="1:23" ht="66" customHeight="1" x14ac:dyDescent="0.25">
      <c r="A20" s="13"/>
      <c r="B20" s="13"/>
      <c r="C20" s="13" t="s">
        <v>85</v>
      </c>
      <c r="D20" s="14">
        <v>4</v>
      </c>
      <c r="E20" s="85">
        <v>4</v>
      </c>
      <c r="F20" s="86" t="s">
        <v>53</v>
      </c>
      <c r="G20" s="13"/>
      <c r="H20" s="13" t="s">
        <v>86</v>
      </c>
      <c r="I20" s="13" t="s">
        <v>87</v>
      </c>
      <c r="J20" s="14">
        <v>5</v>
      </c>
      <c r="K20" s="13" t="s">
        <v>88</v>
      </c>
      <c r="L20" s="14">
        <v>3</v>
      </c>
      <c r="M20" s="85">
        <v>3</v>
      </c>
      <c r="N20" s="86" t="s">
        <v>57</v>
      </c>
      <c r="O20" s="2" t="e">
        <f t="shared" si="0"/>
        <v>#VALUE!</v>
      </c>
      <c r="P20" s="87" t="s">
        <v>58</v>
      </c>
      <c r="Q20" s="13"/>
      <c r="R20" s="13"/>
      <c r="S20" s="14"/>
      <c r="T20" s="14"/>
      <c r="U20" s="14"/>
      <c r="V20" s="14"/>
      <c r="W20" s="2" t="e">
        <f t="shared" si="1"/>
        <v>#VALUE!</v>
      </c>
    </row>
    <row r="21" spans="1:23" ht="118.8" customHeight="1" x14ac:dyDescent="0.25">
      <c r="A21" s="13"/>
      <c r="B21" s="13"/>
      <c r="C21" s="137" t="s">
        <v>68</v>
      </c>
      <c r="D21" s="14">
        <v>9</v>
      </c>
      <c r="E21" s="88">
        <v>9</v>
      </c>
      <c r="F21" s="89" t="s">
        <v>89</v>
      </c>
      <c r="G21" s="13"/>
      <c r="H21" s="16" t="s">
        <v>90</v>
      </c>
      <c r="I21" s="13" t="s">
        <v>91</v>
      </c>
      <c r="J21" s="14">
        <v>3</v>
      </c>
      <c r="K21" s="13" t="s">
        <v>92</v>
      </c>
      <c r="L21" s="14">
        <v>8</v>
      </c>
      <c r="M21" s="88">
        <v>3</v>
      </c>
      <c r="N21" s="89" t="s">
        <v>93</v>
      </c>
      <c r="O21" s="2" t="e">
        <f t="shared" si="0"/>
        <v>#VALUE!</v>
      </c>
      <c r="P21" s="87" t="s">
        <v>58</v>
      </c>
      <c r="Q21" s="13"/>
      <c r="R21" s="13"/>
      <c r="S21" s="14"/>
      <c r="T21" s="14"/>
      <c r="U21" s="14"/>
      <c r="V21" s="14"/>
      <c r="W21" s="2" t="e">
        <f t="shared" si="1"/>
        <v>#VALUE!</v>
      </c>
    </row>
    <row r="22" spans="1:23" ht="118.8" customHeight="1" x14ac:dyDescent="0.25">
      <c r="A22" s="13"/>
      <c r="B22" s="13"/>
      <c r="C22" s="13" t="s">
        <v>68</v>
      </c>
      <c r="D22" s="14">
        <v>9</v>
      </c>
      <c r="E22" s="88">
        <v>9</v>
      </c>
      <c r="F22" s="89" t="s">
        <v>94</v>
      </c>
      <c r="G22" s="13"/>
      <c r="H22" s="16" t="s">
        <v>90</v>
      </c>
      <c r="I22" s="13" t="s">
        <v>95</v>
      </c>
      <c r="J22" s="14">
        <v>8</v>
      </c>
      <c r="K22" s="13" t="s">
        <v>96</v>
      </c>
      <c r="L22" s="14">
        <v>7</v>
      </c>
      <c r="M22" s="85">
        <v>7</v>
      </c>
      <c r="N22" s="86" t="s">
        <v>57</v>
      </c>
      <c r="O22" s="2" t="e">
        <f t="shared" si="0"/>
        <v>#VALUE!</v>
      </c>
      <c r="P22" s="90" t="s">
        <v>97</v>
      </c>
      <c r="Q22" s="13"/>
      <c r="R22" s="13"/>
      <c r="S22" s="14"/>
      <c r="T22" s="14"/>
      <c r="U22" s="14"/>
      <c r="V22" s="14"/>
      <c r="W22" s="2" t="e">
        <f t="shared" si="1"/>
        <v>#VALUE!</v>
      </c>
    </row>
    <row r="23" spans="1:23" ht="92.4" customHeight="1" x14ac:dyDescent="0.25">
      <c r="A23" s="13"/>
      <c r="B23" s="13"/>
      <c r="C23" s="13" t="s">
        <v>52</v>
      </c>
      <c r="D23" s="14">
        <v>7</v>
      </c>
      <c r="E23" s="85">
        <v>7</v>
      </c>
      <c r="F23" s="86" t="s">
        <v>53</v>
      </c>
      <c r="G23" s="13"/>
      <c r="H23" s="13" t="s">
        <v>54</v>
      </c>
      <c r="I23" s="13" t="s">
        <v>98</v>
      </c>
      <c r="J23" s="14">
        <v>2</v>
      </c>
      <c r="K23" s="13" t="s">
        <v>99</v>
      </c>
      <c r="L23" s="14">
        <v>6</v>
      </c>
      <c r="M23" s="85">
        <v>6</v>
      </c>
      <c r="N23" s="86" t="s">
        <v>57</v>
      </c>
      <c r="O23" s="2" t="e">
        <f t="shared" si="0"/>
        <v>#VALUE!</v>
      </c>
      <c r="P23" s="87" t="s">
        <v>58</v>
      </c>
      <c r="Q23" s="13"/>
      <c r="R23" s="13"/>
      <c r="S23" s="14"/>
      <c r="T23" s="14"/>
      <c r="U23" s="14"/>
      <c r="V23" s="14"/>
      <c r="W23" s="2" t="e">
        <f t="shared" si="1"/>
        <v>#VALUE!</v>
      </c>
    </row>
  </sheetData>
  <mergeCells count="43">
    <mergeCell ref="A1:C1"/>
    <mergeCell ref="E12:E13"/>
    <mergeCell ref="G12:G13"/>
    <mergeCell ref="H4:J4"/>
    <mergeCell ref="Q12:Q13"/>
    <mergeCell ref="H9:J9"/>
    <mergeCell ref="H6:J6"/>
    <mergeCell ref="Q4:U4"/>
    <mergeCell ref="T11:U11"/>
    <mergeCell ref="H5:J5"/>
    <mergeCell ref="K8:O8"/>
    <mergeCell ref="V11:W11"/>
    <mergeCell ref="B10:O10"/>
    <mergeCell ref="H8:J8"/>
    <mergeCell ref="A4:C6"/>
    <mergeCell ref="S9:W9"/>
    <mergeCell ref="A14:A16"/>
    <mergeCell ref="V4:W4"/>
    <mergeCell ref="Q6:V6"/>
    <mergeCell ref="S8:W8"/>
    <mergeCell ref="T10:U10"/>
    <mergeCell ref="A12:A13"/>
    <mergeCell ref="R12:R13"/>
    <mergeCell ref="V10:W10"/>
    <mergeCell ref="C12:C13"/>
    <mergeCell ref="I12:I13"/>
    <mergeCell ref="K12:K13"/>
    <mergeCell ref="B9:D9"/>
    <mergeCell ref="M12:M13"/>
    <mergeCell ref="O12:O13"/>
    <mergeCell ref="D12:D13"/>
    <mergeCell ref="A7:W7"/>
    <mergeCell ref="B12:B13"/>
    <mergeCell ref="S12:W12"/>
    <mergeCell ref="Q5:V5"/>
    <mergeCell ref="B8:D8"/>
    <mergeCell ref="F12:F13"/>
    <mergeCell ref="L12:L13"/>
    <mergeCell ref="N12:N13"/>
    <mergeCell ref="K9:O9"/>
    <mergeCell ref="H12:H13"/>
    <mergeCell ref="J12:J13"/>
    <mergeCell ref="P12:P13"/>
  </mergeCells>
  <conditionalFormatting sqref="D14:D23 R14:R23">
    <cfRule type="cellIs" dxfId="2" priority="1" stopIfTrue="1" operator="greaterThanOrEqual">
      <formula>#REF!</formula>
    </cfRule>
  </conditionalFormatting>
  <conditionalFormatting sqref="K14:K23">
    <cfRule type="cellIs" dxfId="1" priority="3" stopIfTrue="1" operator="greaterThanOrEqual">
      <formula>#REF!</formula>
    </cfRule>
  </conditionalFormatting>
  <conditionalFormatting sqref="O14:O23">
    <cfRule type="cellIs" dxfId="0" priority="2" stopIfTrue="1" operator="greaterThanOrEqual">
      <formula>#REF!</formula>
    </cfRule>
  </conditionalFormatting>
  <dataValidations count="3">
    <dataValidation type="list" allowBlank="1" showInputMessage="1" showErrorMessage="1" sqref="D14:D23 O14:O23" xr:uid="{00000000-0002-0000-0100-000000000000}">
      <formula1>Sev</formula1>
    </dataValidation>
    <dataValidation type="list" allowBlank="1" showInputMessage="1" showErrorMessage="1" sqref="H14:H23 P14:P23" xr:uid="{00000000-0002-0000-0100-000001000000}">
      <formula1>Occur</formula1>
    </dataValidation>
    <dataValidation type="list" allowBlank="1" showInputMessage="1" showErrorMessage="1" sqref="J14:J23 Q14:Q23" xr:uid="{00000000-0002-0000-0100-000002000000}">
      <formula1>Det</formula1>
    </dataValidation>
  </dataValidations>
  <pageMargins left="0.75" right="0.75" top="1" bottom="1" header="0.5" footer="0.5"/>
  <pageSetup paperSize="3"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CCFF"/>
  </sheetPr>
  <dimension ref="B1:K15"/>
  <sheetViews>
    <sheetView showGridLines="0" topLeftCell="B3" zoomScaleNormal="100" zoomScaleSheetLayoutView="90" workbookViewId="0">
      <selection activeCell="D6" sqref="D6"/>
    </sheetView>
  </sheetViews>
  <sheetFormatPr defaultColWidth="8.88671875" defaultRowHeight="14.4" x14ac:dyDescent="0.25"/>
  <cols>
    <col min="1" max="1" width="4.33203125" style="73" customWidth="1"/>
    <col min="2" max="2" width="11.6640625" style="73" customWidth="1"/>
    <col min="3" max="3" width="28" style="73" customWidth="1"/>
    <col min="4" max="4" width="68.6640625" style="73" customWidth="1"/>
    <col min="5" max="6" width="10.88671875" style="73" customWidth="1"/>
    <col min="7" max="7" width="10.88671875" style="39" customWidth="1"/>
    <col min="8" max="8" width="29" style="73" customWidth="1"/>
    <col min="9" max="9" width="4.5546875" style="73" customWidth="1"/>
    <col min="10" max="10" width="8.88671875" style="73" customWidth="1"/>
    <col min="11" max="16384" width="8.88671875" style="73"/>
  </cols>
  <sheetData>
    <row r="1" spans="2:11" ht="33" customHeight="1" thickBot="1" x14ac:dyDescent="0.3">
      <c r="H1" s="60"/>
      <c r="I1" s="41" t="s">
        <v>126</v>
      </c>
    </row>
    <row r="2" spans="2:11" ht="39" customHeight="1" thickBot="1" x14ac:dyDescent="0.3">
      <c r="B2" s="123" t="s">
        <v>127</v>
      </c>
      <c r="C2" s="124"/>
      <c r="D2" s="124"/>
      <c r="E2" s="124"/>
      <c r="F2" s="124"/>
      <c r="G2" s="124"/>
      <c r="H2" s="125"/>
      <c r="I2" s="74"/>
    </row>
    <row r="3" spans="2:11" ht="18.600000000000001" customHeight="1" thickBot="1" x14ac:dyDescent="0.3">
      <c r="B3" s="42" t="s">
        <v>128</v>
      </c>
      <c r="C3" s="126" t="s">
        <v>129</v>
      </c>
      <c r="D3" s="125"/>
      <c r="E3" s="122" t="s">
        <v>130</v>
      </c>
      <c r="F3" s="122" t="s">
        <v>131</v>
      </c>
      <c r="G3" s="122" t="s">
        <v>132</v>
      </c>
      <c r="H3" s="122" t="s">
        <v>133</v>
      </c>
      <c r="I3" s="74"/>
    </row>
    <row r="4" spans="2:11" ht="45" customHeight="1" thickBot="1" x14ac:dyDescent="0.3">
      <c r="B4" s="43" t="s">
        <v>134</v>
      </c>
      <c r="C4" s="43" t="s">
        <v>135</v>
      </c>
      <c r="D4" s="43" t="s">
        <v>136</v>
      </c>
      <c r="E4" s="120"/>
      <c r="F4" s="120"/>
      <c r="G4" s="120"/>
      <c r="H4" s="120"/>
      <c r="K4" s="75"/>
    </row>
    <row r="5" spans="2:11" ht="42" customHeight="1" thickBot="1" x14ac:dyDescent="0.3">
      <c r="B5" s="45">
        <v>10</v>
      </c>
      <c r="C5" s="76" t="s">
        <v>137</v>
      </c>
      <c r="D5" s="76" t="s">
        <v>138</v>
      </c>
      <c r="E5" s="77"/>
      <c r="F5" s="78"/>
      <c r="G5" s="119" t="s">
        <v>139</v>
      </c>
      <c r="H5" s="79"/>
    </row>
    <row r="6" spans="2:11" ht="42" customHeight="1" thickBot="1" x14ac:dyDescent="0.3">
      <c r="B6" s="47">
        <v>9</v>
      </c>
      <c r="C6" s="76" t="s">
        <v>140</v>
      </c>
      <c r="D6" s="76" t="s">
        <v>141</v>
      </c>
      <c r="E6" s="80"/>
      <c r="F6" s="78"/>
      <c r="G6" s="121"/>
      <c r="H6" s="79"/>
    </row>
    <row r="7" spans="2:11" ht="42" customHeight="1" thickBot="1" x14ac:dyDescent="0.3">
      <c r="B7" s="48">
        <v>8</v>
      </c>
      <c r="C7" s="76" t="s">
        <v>142</v>
      </c>
      <c r="D7" s="76" t="s">
        <v>143</v>
      </c>
      <c r="E7" s="80"/>
      <c r="F7" s="78"/>
      <c r="G7" s="121"/>
      <c r="H7" s="79"/>
    </row>
    <row r="8" spans="2:11" ht="42" customHeight="1" thickBot="1" x14ac:dyDescent="0.3">
      <c r="B8" s="49">
        <v>7</v>
      </c>
      <c r="C8" s="76" t="s">
        <v>144</v>
      </c>
      <c r="D8" s="76" t="s">
        <v>145</v>
      </c>
      <c r="E8" s="80"/>
      <c r="F8" s="119" t="s">
        <v>146</v>
      </c>
      <c r="G8" s="121"/>
      <c r="H8" s="79"/>
    </row>
    <row r="9" spans="2:11" ht="42" customHeight="1" thickBot="1" x14ac:dyDescent="0.3">
      <c r="B9" s="50">
        <v>6</v>
      </c>
      <c r="C9" s="76" t="s">
        <v>142</v>
      </c>
      <c r="D9" s="76" t="s">
        <v>147</v>
      </c>
      <c r="E9" s="80"/>
      <c r="F9" s="120"/>
      <c r="G9" s="121"/>
      <c r="H9" s="79"/>
    </row>
    <row r="10" spans="2:11" ht="58.5" customHeight="1" thickBot="1" x14ac:dyDescent="0.3">
      <c r="B10" s="51">
        <v>5</v>
      </c>
      <c r="C10" s="76" t="s">
        <v>144</v>
      </c>
      <c r="D10" s="76" t="s">
        <v>148</v>
      </c>
      <c r="E10" s="80"/>
      <c r="F10" s="119" t="s">
        <v>149</v>
      </c>
      <c r="G10" s="120"/>
      <c r="H10" s="79"/>
    </row>
    <row r="11" spans="2:11" ht="42" customHeight="1" thickBot="1" x14ac:dyDescent="0.3">
      <c r="B11" s="52">
        <v>4</v>
      </c>
      <c r="C11" s="76" t="s">
        <v>142</v>
      </c>
      <c r="D11" s="76" t="s">
        <v>150</v>
      </c>
      <c r="E11" s="119" t="s">
        <v>151</v>
      </c>
      <c r="F11" s="121"/>
      <c r="G11" s="81"/>
      <c r="H11" s="79"/>
    </row>
    <row r="12" spans="2:11" ht="42" customHeight="1" thickBot="1" x14ac:dyDescent="0.3">
      <c r="B12" s="53">
        <v>3</v>
      </c>
      <c r="C12" s="76" t="s">
        <v>144</v>
      </c>
      <c r="D12" s="76" t="s">
        <v>152</v>
      </c>
      <c r="E12" s="121"/>
      <c r="F12" s="120"/>
      <c r="G12" s="81"/>
      <c r="H12" s="79"/>
    </row>
    <row r="13" spans="2:11" ht="42" customHeight="1" thickBot="1" x14ac:dyDescent="0.3">
      <c r="B13" s="54">
        <v>2</v>
      </c>
      <c r="C13" s="76" t="s">
        <v>153</v>
      </c>
      <c r="D13" s="76" t="s">
        <v>154</v>
      </c>
      <c r="E13" s="121"/>
      <c r="F13" s="78"/>
      <c r="G13" s="81"/>
      <c r="H13" s="79"/>
    </row>
    <row r="14" spans="2:11" ht="42" customHeight="1" thickBot="1" x14ac:dyDescent="0.3">
      <c r="B14" s="55">
        <v>1</v>
      </c>
      <c r="C14" s="76" t="s">
        <v>155</v>
      </c>
      <c r="D14" s="76" t="s">
        <v>156</v>
      </c>
      <c r="E14" s="120"/>
      <c r="F14" s="82"/>
      <c r="G14" s="83"/>
      <c r="H14" s="79"/>
    </row>
    <row r="15" spans="2:11" x14ac:dyDescent="0.25">
      <c r="B15" s="56" t="s">
        <v>157</v>
      </c>
      <c r="G15" s="84"/>
      <c r="H15" s="57" t="s">
        <v>158</v>
      </c>
    </row>
  </sheetData>
  <mergeCells count="10">
    <mergeCell ref="B2:H2"/>
    <mergeCell ref="E11:E14"/>
    <mergeCell ref="C3:D3"/>
    <mergeCell ref="G5:G10"/>
    <mergeCell ref="F8:F9"/>
    <mergeCell ref="F10:F12"/>
    <mergeCell ref="G3:G4"/>
    <mergeCell ref="E3:E4"/>
    <mergeCell ref="H3:H4"/>
    <mergeCell ref="F3:F4"/>
  </mergeCells>
  <hyperlinks>
    <hyperlink ref="H15" location="'PFMEA Template'!A1" display="Return to PFMEA" xr:uid="{00000000-0004-0000-0200-000000000000}"/>
  </hyperlinks>
  <pageMargins left="0.25" right="0.25" top="0.75" bottom="0.75" header="0.3" footer="0.3"/>
  <pageSetup scale="50" orientation="portrait"/>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CCFF"/>
  </sheetPr>
  <dimension ref="B1:K21"/>
  <sheetViews>
    <sheetView showGridLines="0" topLeftCell="A4" zoomScaleNormal="100" zoomScaleSheetLayoutView="100" workbookViewId="0">
      <selection activeCell="D3" sqref="D3:G3"/>
    </sheetView>
  </sheetViews>
  <sheetFormatPr defaultColWidth="8.88671875" defaultRowHeight="14.4" x14ac:dyDescent="0.25"/>
  <cols>
    <col min="1" max="1" width="3.6640625" style="39" customWidth="1"/>
    <col min="2" max="2" width="11.6640625" style="39" customWidth="1"/>
    <col min="3" max="3" width="13" style="39" customWidth="1"/>
    <col min="4" max="4" width="16" style="58" customWidth="1"/>
    <col min="5" max="5" width="15.33203125" style="59" customWidth="1"/>
    <col min="6" max="6" width="14.6640625" style="39" customWidth="1"/>
    <col min="7" max="7" width="17.6640625" style="39" customWidth="1"/>
    <col min="8" max="8" width="15.6640625" style="39" customWidth="1"/>
    <col min="9" max="9" width="14.88671875" style="39" customWidth="1"/>
    <col min="10" max="10" width="30.33203125" style="69" customWidth="1"/>
    <col min="11" max="11" width="3.109375" style="39" customWidth="1"/>
    <col min="12" max="12" width="8.88671875" style="39" customWidth="1"/>
    <col min="13" max="16384" width="8.88671875" style="39"/>
  </cols>
  <sheetData>
    <row r="1" spans="2:11" ht="30.75" customHeight="1" thickBot="1" x14ac:dyDescent="0.3">
      <c r="J1" s="60"/>
      <c r="K1" s="41" t="s">
        <v>126</v>
      </c>
    </row>
    <row r="2" spans="2:11" ht="41.25" customHeight="1" thickBot="1" x14ac:dyDescent="0.3">
      <c r="B2" s="123" t="s">
        <v>159</v>
      </c>
      <c r="C2" s="124"/>
      <c r="D2" s="124"/>
      <c r="E2" s="124"/>
      <c r="F2" s="124"/>
      <c r="G2" s="124"/>
      <c r="H2" s="124"/>
      <c r="I2" s="124"/>
      <c r="J2" s="125"/>
    </row>
    <row r="3" spans="2:11" ht="26.25" customHeight="1" thickBot="1" x14ac:dyDescent="0.3">
      <c r="B3" s="42" t="s">
        <v>128</v>
      </c>
      <c r="C3" s="42" t="s">
        <v>160</v>
      </c>
      <c r="D3" s="126" t="s">
        <v>161</v>
      </c>
      <c r="E3" s="124"/>
      <c r="F3" s="124"/>
      <c r="G3" s="125"/>
      <c r="H3" s="42" t="s">
        <v>162</v>
      </c>
      <c r="I3" s="42" t="s">
        <v>160</v>
      </c>
      <c r="J3" s="122" t="s">
        <v>163</v>
      </c>
    </row>
    <row r="4" spans="2:11" ht="15" customHeight="1" thickBot="1" x14ac:dyDescent="0.3">
      <c r="B4" s="122" t="s">
        <v>134</v>
      </c>
      <c r="C4" s="122" t="s">
        <v>164</v>
      </c>
      <c r="D4" s="122" t="s">
        <v>165</v>
      </c>
      <c r="E4" s="125"/>
      <c r="F4" s="122" t="s">
        <v>166</v>
      </c>
      <c r="G4" s="122" t="s">
        <v>167</v>
      </c>
      <c r="H4" s="122" t="s">
        <v>168</v>
      </c>
      <c r="I4" s="125"/>
      <c r="J4" s="121"/>
    </row>
    <row r="5" spans="2:11" ht="29.4" customHeight="1" thickBot="1" x14ac:dyDescent="0.3">
      <c r="B5" s="120"/>
      <c r="C5" s="120"/>
      <c r="D5" s="43" t="s">
        <v>169</v>
      </c>
      <c r="E5" s="43" t="s">
        <v>167</v>
      </c>
      <c r="F5" s="120"/>
      <c r="G5" s="120"/>
      <c r="H5" s="43" t="s">
        <v>169</v>
      </c>
      <c r="I5" s="43" t="s">
        <v>170</v>
      </c>
      <c r="J5" s="120"/>
    </row>
    <row r="6" spans="2:11" ht="41.25" customHeight="1" thickBot="1" x14ac:dyDescent="0.3">
      <c r="B6" s="45">
        <v>10</v>
      </c>
      <c r="C6" s="44" t="s">
        <v>171</v>
      </c>
      <c r="D6" s="61" t="s">
        <v>172</v>
      </c>
      <c r="E6" s="44" t="s">
        <v>173</v>
      </c>
      <c r="F6" s="62">
        <v>500000</v>
      </c>
      <c r="G6" s="44" t="s">
        <v>174</v>
      </c>
      <c r="H6" s="63" t="s">
        <v>175</v>
      </c>
      <c r="I6" s="44" t="s">
        <v>176</v>
      </c>
      <c r="J6" s="64"/>
    </row>
    <row r="7" spans="2:11" ht="41.25" customHeight="1" thickBot="1" x14ac:dyDescent="0.3">
      <c r="B7" s="47">
        <v>9</v>
      </c>
      <c r="C7" s="127" t="s">
        <v>177</v>
      </c>
      <c r="D7" s="61" t="s">
        <v>178</v>
      </c>
      <c r="E7" s="44" t="s">
        <v>179</v>
      </c>
      <c r="F7" s="62">
        <v>50000</v>
      </c>
      <c r="G7" s="44" t="s">
        <v>180</v>
      </c>
      <c r="H7" s="44" t="s">
        <v>181</v>
      </c>
      <c r="I7" s="63" t="s">
        <v>182</v>
      </c>
      <c r="J7" s="64"/>
    </row>
    <row r="8" spans="2:11" ht="41.25" customHeight="1" thickBot="1" x14ac:dyDescent="0.3">
      <c r="B8" s="48">
        <v>8</v>
      </c>
      <c r="C8" s="121"/>
      <c r="D8" s="61" t="s">
        <v>183</v>
      </c>
      <c r="E8" s="44" t="s">
        <v>184</v>
      </c>
      <c r="F8" s="62">
        <v>20000</v>
      </c>
      <c r="G8" s="44" t="s">
        <v>184</v>
      </c>
      <c r="H8" s="44" t="s">
        <v>185</v>
      </c>
      <c r="I8" s="63" t="s">
        <v>186</v>
      </c>
      <c r="J8" s="64"/>
    </row>
    <row r="9" spans="2:11" ht="41.25" customHeight="1" thickBot="1" x14ac:dyDescent="0.3">
      <c r="B9" s="49">
        <v>7</v>
      </c>
      <c r="C9" s="120"/>
      <c r="D9" s="61" t="s">
        <v>187</v>
      </c>
      <c r="E9" s="44" t="s">
        <v>188</v>
      </c>
      <c r="F9" s="62">
        <v>10000</v>
      </c>
      <c r="G9" s="44" t="s">
        <v>189</v>
      </c>
      <c r="H9" s="44" t="s">
        <v>190</v>
      </c>
      <c r="I9" s="63" t="s">
        <v>191</v>
      </c>
      <c r="J9" s="64"/>
    </row>
    <row r="10" spans="2:11" ht="41.25" customHeight="1" thickBot="1" x14ac:dyDescent="0.3">
      <c r="B10" s="50">
        <v>6</v>
      </c>
      <c r="C10" s="127" t="s">
        <v>192</v>
      </c>
      <c r="D10" s="61" t="s">
        <v>193</v>
      </c>
      <c r="E10" s="44" t="s">
        <v>194</v>
      </c>
      <c r="F10" s="62">
        <v>5000</v>
      </c>
      <c r="G10" s="44" t="s">
        <v>195</v>
      </c>
      <c r="H10" s="44" t="s">
        <v>196</v>
      </c>
      <c r="I10" s="63" t="s">
        <v>197</v>
      </c>
      <c r="J10" s="64"/>
    </row>
    <row r="11" spans="2:11" ht="41.25" customHeight="1" thickBot="1" x14ac:dyDescent="0.3">
      <c r="B11" s="51">
        <v>5</v>
      </c>
      <c r="C11" s="121"/>
      <c r="D11" s="61" t="s">
        <v>198</v>
      </c>
      <c r="E11" s="44" t="s">
        <v>199</v>
      </c>
      <c r="F11" s="62">
        <v>1000</v>
      </c>
      <c r="G11" s="44" t="s">
        <v>200</v>
      </c>
      <c r="H11" s="44" t="s">
        <v>201</v>
      </c>
      <c r="I11" s="63" t="s">
        <v>202</v>
      </c>
      <c r="J11" s="64"/>
    </row>
    <row r="12" spans="2:11" ht="41.25" customHeight="1" thickBot="1" x14ac:dyDescent="0.3">
      <c r="B12" s="52">
        <v>4</v>
      </c>
      <c r="C12" s="120"/>
      <c r="D12" s="61" t="s">
        <v>203</v>
      </c>
      <c r="E12" s="44" t="s">
        <v>204</v>
      </c>
      <c r="F12" s="44">
        <v>100</v>
      </c>
      <c r="G12" s="44" t="s">
        <v>205</v>
      </c>
      <c r="H12" s="44" t="s">
        <v>206</v>
      </c>
      <c r="I12" s="63" t="s">
        <v>207</v>
      </c>
      <c r="J12" s="64"/>
    </row>
    <row r="13" spans="2:11" ht="41.25" customHeight="1" thickBot="1" x14ac:dyDescent="0.3">
      <c r="B13" s="53">
        <v>3</v>
      </c>
      <c r="C13" s="127" t="s">
        <v>208</v>
      </c>
      <c r="D13" s="61" t="s">
        <v>209</v>
      </c>
      <c r="E13" s="44" t="s">
        <v>210</v>
      </c>
      <c r="F13" s="44">
        <v>10</v>
      </c>
      <c r="G13" s="44" t="s">
        <v>211</v>
      </c>
      <c r="H13" s="44" t="s">
        <v>212</v>
      </c>
      <c r="I13" s="63" t="s">
        <v>213</v>
      </c>
      <c r="J13" s="64"/>
    </row>
    <row r="14" spans="2:11" ht="28.2" customHeight="1" thickBot="1" x14ac:dyDescent="0.3">
      <c r="B14" s="54">
        <v>2</v>
      </c>
      <c r="C14" s="120"/>
      <c r="D14" s="61" t="s">
        <v>214</v>
      </c>
      <c r="E14" s="44" t="s">
        <v>215</v>
      </c>
      <c r="F14" s="44">
        <v>1</v>
      </c>
      <c r="G14" s="44" t="s">
        <v>216</v>
      </c>
      <c r="H14" s="44" t="s">
        <v>217</v>
      </c>
      <c r="I14" s="63" t="s">
        <v>218</v>
      </c>
      <c r="J14" s="64"/>
    </row>
    <row r="15" spans="2:11" ht="40.200000000000003" customHeight="1" thickBot="1" x14ac:dyDescent="0.3">
      <c r="B15" s="55">
        <v>1</v>
      </c>
      <c r="C15" s="44" t="s">
        <v>219</v>
      </c>
      <c r="D15" s="61" t="s">
        <v>220</v>
      </c>
      <c r="E15" s="44" t="s">
        <v>221</v>
      </c>
      <c r="F15" s="44" t="s">
        <v>222</v>
      </c>
      <c r="G15" s="44" t="s">
        <v>223</v>
      </c>
      <c r="H15" s="63" t="s">
        <v>224</v>
      </c>
      <c r="I15" s="63" t="s">
        <v>224</v>
      </c>
      <c r="J15" s="64"/>
    </row>
    <row r="16" spans="2:11" ht="15" customHeight="1" x14ac:dyDescent="0.25">
      <c r="B16" s="65" t="s">
        <v>157</v>
      </c>
      <c r="C16" s="66"/>
      <c r="D16" s="67"/>
      <c r="E16" s="68"/>
      <c r="F16" s="66"/>
      <c r="G16" s="66"/>
      <c r="H16" s="66"/>
      <c r="I16" s="66"/>
      <c r="J16" s="57" t="s">
        <v>158</v>
      </c>
    </row>
    <row r="17" spans="2:9" hidden="1" x14ac:dyDescent="0.25">
      <c r="B17" s="130"/>
      <c r="C17" s="129"/>
      <c r="D17" s="131"/>
      <c r="E17" s="132"/>
      <c r="F17" s="129"/>
      <c r="G17" s="129"/>
      <c r="H17" s="129"/>
      <c r="I17" s="129"/>
    </row>
    <row r="18" spans="2:9" x14ac:dyDescent="0.25">
      <c r="B18" s="70"/>
      <c r="C18" s="70"/>
      <c r="D18" s="70"/>
    </row>
    <row r="19" spans="2:9" x14ac:dyDescent="0.25">
      <c r="B19" s="71"/>
      <c r="C19" s="71"/>
      <c r="D19" s="72"/>
    </row>
    <row r="20" spans="2:9" x14ac:dyDescent="0.25">
      <c r="B20" s="71"/>
      <c r="C20" s="71"/>
      <c r="D20" s="72"/>
      <c r="H20" s="128"/>
      <c r="I20" s="128"/>
    </row>
    <row r="21" spans="2:9" x14ac:dyDescent="0.25">
      <c r="B21" s="71"/>
      <c r="C21" s="71"/>
      <c r="D21" s="72"/>
      <c r="H21" s="129"/>
      <c r="I21" s="129"/>
    </row>
  </sheetData>
  <mergeCells count="15">
    <mergeCell ref="C10:C12"/>
    <mergeCell ref="B17:I17"/>
    <mergeCell ref="B2:J2"/>
    <mergeCell ref="C13:C14"/>
    <mergeCell ref="H20:H21"/>
    <mergeCell ref="I20:I21"/>
    <mergeCell ref="D4:E4"/>
    <mergeCell ref="J3:J5"/>
    <mergeCell ref="H4:I4"/>
    <mergeCell ref="C7:C9"/>
    <mergeCell ref="D3:G3"/>
    <mergeCell ref="B4:B5"/>
    <mergeCell ref="C4:C5"/>
    <mergeCell ref="F4:F5"/>
    <mergeCell ref="G4:G5"/>
  </mergeCells>
  <dataValidations count="1">
    <dataValidation allowBlank="1" showInputMessage="1" showErrorMessage="1" prompt="These columns are not intended to &quot;equal&quot; one another, but serve as a reference that the cross functional team may use to rank process occurrence." sqref="H20:I21" xr:uid="{00000000-0002-0000-0300-000000000000}"/>
  </dataValidations>
  <hyperlinks>
    <hyperlink ref="J16" location="'PFMEA Template'!A1" display="Return to PFMEA" xr:uid="{00000000-0004-0000-0300-000000000000}"/>
  </hyperlinks>
  <pageMargins left="0.7" right="0.7" top="0.75" bottom="0.75" header="0.3" footer="0.3"/>
  <pageSetup scale="50" orientation="portrait"/>
  <headerFooter>
    <oddHeader>&amp;RTemplate Issue date 2019NOV26</oddHead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CCFF"/>
  </sheetPr>
  <dimension ref="B1:H15"/>
  <sheetViews>
    <sheetView showGridLines="0" topLeftCell="A2" zoomScaleNormal="100" workbookViewId="0">
      <selection activeCell="F10" sqref="F10"/>
    </sheetView>
  </sheetViews>
  <sheetFormatPr defaultColWidth="8.88671875" defaultRowHeight="14.4" x14ac:dyDescent="0.25"/>
  <cols>
    <col min="1" max="1" width="3.33203125" style="39" customWidth="1"/>
    <col min="2" max="2" width="15" style="39" customWidth="1"/>
    <col min="3" max="3" width="43.109375" style="39" customWidth="1"/>
    <col min="4" max="4" width="11.6640625" style="39" customWidth="1"/>
    <col min="5" max="5" width="15" style="39" customWidth="1"/>
    <col min="6" max="6" width="50.88671875" style="39" customWidth="1"/>
    <col min="7" max="7" width="27" style="39" customWidth="1"/>
    <col min="8" max="8" width="4.109375" style="39" customWidth="1"/>
    <col min="9" max="9" width="8.88671875" style="39" customWidth="1"/>
    <col min="10" max="16384" width="8.88671875" style="39"/>
  </cols>
  <sheetData>
    <row r="1" spans="2:8" ht="28.5" customHeight="1" thickBot="1" x14ac:dyDescent="0.3">
      <c r="G1" s="40"/>
      <c r="H1" s="41" t="s">
        <v>126</v>
      </c>
    </row>
    <row r="2" spans="2:8" ht="45.75" customHeight="1" thickBot="1" x14ac:dyDescent="0.3">
      <c r="B2" s="123" t="s">
        <v>225</v>
      </c>
      <c r="C2" s="124"/>
      <c r="D2" s="124"/>
      <c r="E2" s="124"/>
      <c r="F2" s="124"/>
      <c r="G2" s="125"/>
    </row>
    <row r="3" spans="2:8" ht="15" customHeight="1" thickBot="1" x14ac:dyDescent="0.3">
      <c r="B3" s="42" t="s">
        <v>128</v>
      </c>
      <c r="C3" s="126" t="s">
        <v>129</v>
      </c>
      <c r="D3" s="124"/>
      <c r="E3" s="124"/>
      <c r="F3" s="125"/>
      <c r="G3" s="122" t="s">
        <v>133</v>
      </c>
    </row>
    <row r="4" spans="2:8" ht="29.4" customHeight="1" thickBot="1" x14ac:dyDescent="0.3">
      <c r="B4" s="43" t="s">
        <v>226</v>
      </c>
      <c r="C4" s="43" t="s">
        <v>227</v>
      </c>
      <c r="D4" s="43" t="s">
        <v>134</v>
      </c>
      <c r="E4" s="43" t="s">
        <v>228</v>
      </c>
      <c r="F4" s="43" t="s">
        <v>229</v>
      </c>
      <c r="G4" s="120"/>
    </row>
    <row r="5" spans="2:8" ht="42" customHeight="1" thickBot="1" x14ac:dyDescent="0.3">
      <c r="B5" s="127" t="s">
        <v>230</v>
      </c>
      <c r="C5" s="44" t="s">
        <v>231</v>
      </c>
      <c r="D5" s="45">
        <v>10</v>
      </c>
      <c r="E5" s="127" t="s">
        <v>230</v>
      </c>
      <c r="F5" s="44" t="s">
        <v>232</v>
      </c>
      <c r="G5" s="46"/>
    </row>
    <row r="6" spans="2:8" ht="42" customHeight="1" thickBot="1" x14ac:dyDescent="0.3">
      <c r="B6" s="120"/>
      <c r="C6" s="44" t="s">
        <v>233</v>
      </c>
      <c r="D6" s="47">
        <v>9</v>
      </c>
      <c r="E6" s="120"/>
      <c r="F6" s="44" t="s">
        <v>234</v>
      </c>
      <c r="G6" s="46"/>
    </row>
    <row r="7" spans="2:8" ht="57.6" customHeight="1" thickBot="1" x14ac:dyDescent="0.3">
      <c r="B7" s="127" t="s">
        <v>235</v>
      </c>
      <c r="C7" s="44" t="s">
        <v>236</v>
      </c>
      <c r="D7" s="48">
        <v>8</v>
      </c>
      <c r="E7" s="44" t="s">
        <v>237</v>
      </c>
      <c r="F7" s="44" t="s">
        <v>238</v>
      </c>
      <c r="G7" s="46"/>
    </row>
    <row r="8" spans="2:8" ht="42" customHeight="1" thickBot="1" x14ac:dyDescent="0.3">
      <c r="B8" s="120"/>
      <c r="C8" s="44" t="s">
        <v>239</v>
      </c>
      <c r="D8" s="49">
        <v>7</v>
      </c>
      <c r="E8" s="44" t="s">
        <v>240</v>
      </c>
      <c r="F8" s="44" t="s">
        <v>241</v>
      </c>
      <c r="G8" s="46"/>
    </row>
    <row r="9" spans="2:8" ht="42" customHeight="1" thickBot="1" x14ac:dyDescent="0.3">
      <c r="B9" s="127" t="s">
        <v>242</v>
      </c>
      <c r="C9" s="44" t="s">
        <v>243</v>
      </c>
      <c r="D9" s="50">
        <v>6</v>
      </c>
      <c r="E9" s="127" t="s">
        <v>244</v>
      </c>
      <c r="F9" s="44" t="s">
        <v>245</v>
      </c>
      <c r="G9" s="46"/>
    </row>
    <row r="10" spans="2:8" ht="55.8" customHeight="1" thickBot="1" x14ac:dyDescent="0.3">
      <c r="B10" s="120"/>
      <c r="C10" s="44" t="s">
        <v>246</v>
      </c>
      <c r="D10" s="51">
        <v>5</v>
      </c>
      <c r="E10" s="120"/>
      <c r="F10" s="44" t="s">
        <v>247</v>
      </c>
      <c r="G10" s="46"/>
    </row>
    <row r="11" spans="2:8" ht="42" customHeight="1" thickBot="1" x14ac:dyDescent="0.3">
      <c r="B11" s="127" t="s">
        <v>248</v>
      </c>
      <c r="C11" s="44" t="s">
        <v>249</v>
      </c>
      <c r="D11" s="52">
        <v>4</v>
      </c>
      <c r="E11" s="127" t="s">
        <v>244</v>
      </c>
      <c r="F11" s="44" t="s">
        <v>250</v>
      </c>
      <c r="G11" s="46"/>
    </row>
    <row r="12" spans="2:8" ht="42" customHeight="1" thickBot="1" x14ac:dyDescent="0.3">
      <c r="B12" s="121"/>
      <c r="C12" s="44" t="s">
        <v>251</v>
      </c>
      <c r="D12" s="53">
        <v>3</v>
      </c>
      <c r="E12" s="120"/>
      <c r="F12" s="44" t="s">
        <v>252</v>
      </c>
      <c r="G12" s="46"/>
    </row>
    <row r="13" spans="2:8" ht="42" customHeight="1" thickBot="1" x14ac:dyDescent="0.3">
      <c r="B13" s="120"/>
      <c r="C13" s="44" t="s">
        <v>253</v>
      </c>
      <c r="D13" s="54">
        <v>2</v>
      </c>
      <c r="E13" s="44" t="s">
        <v>254</v>
      </c>
      <c r="F13" s="44" t="s">
        <v>255</v>
      </c>
      <c r="G13" s="46"/>
    </row>
    <row r="14" spans="2:8" ht="18.600000000000001" customHeight="1" thickBot="1" x14ac:dyDescent="0.3">
      <c r="B14" s="44" t="s">
        <v>256</v>
      </c>
      <c r="C14" s="44" t="s">
        <v>257</v>
      </c>
      <c r="D14" s="55">
        <v>1</v>
      </c>
      <c r="E14" s="44" t="s">
        <v>256</v>
      </c>
      <c r="F14" s="44" t="s">
        <v>257</v>
      </c>
      <c r="G14" s="46"/>
    </row>
    <row r="15" spans="2:8" x14ac:dyDescent="0.25">
      <c r="B15" s="56" t="s">
        <v>157</v>
      </c>
      <c r="G15" s="57" t="s">
        <v>158</v>
      </c>
    </row>
  </sheetData>
  <mergeCells count="10">
    <mergeCell ref="B11:B13"/>
    <mergeCell ref="E11:E12"/>
    <mergeCell ref="B5:B6"/>
    <mergeCell ref="B2:G2"/>
    <mergeCell ref="B9:B10"/>
    <mergeCell ref="E5:E6"/>
    <mergeCell ref="E9:E10"/>
    <mergeCell ref="C3:F3"/>
    <mergeCell ref="G3:G4"/>
    <mergeCell ref="B7:B8"/>
  </mergeCells>
  <hyperlinks>
    <hyperlink ref="G15" location="'PFMEA Template'!A1" display="Return to PFMEA" xr:uid="{00000000-0004-0000-0400-000000000000}"/>
  </hyperlinks>
  <pageMargins left="0.7" right="0.7" top="0.75" bottom="0.75" header="0.3" footer="0.3"/>
  <pageSetup scale="52" orientation="portrait"/>
  <headerFooter>
    <oddHeader xml:space="preserve">&amp;R
</oddHeader>
  </headerFooter>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4"/>
  <sheetViews>
    <sheetView zoomScaleNormal="100" workbookViewId="0">
      <selection activeCell="C23" sqref="C23"/>
    </sheetView>
  </sheetViews>
  <sheetFormatPr defaultColWidth="9.109375" defaultRowHeight="13.2" x14ac:dyDescent="0.25"/>
  <cols>
    <col min="1" max="1" width="70.109375" style="3" customWidth="1"/>
    <col min="2" max="2" width="6" style="8" customWidth="1"/>
    <col min="3" max="3" width="57.33203125" style="3" customWidth="1"/>
    <col min="4" max="4" width="9.109375" style="3" customWidth="1"/>
    <col min="5" max="16384" width="9.109375" style="3"/>
  </cols>
  <sheetData>
    <row r="1" spans="1:3" ht="13.8" customHeight="1" thickBot="1" x14ac:dyDescent="0.3">
      <c r="A1" s="3" t="s">
        <v>258</v>
      </c>
    </row>
    <row r="2" spans="1:3" ht="13.8" customHeight="1" thickTop="1" x14ac:dyDescent="0.25">
      <c r="A2" s="4" t="s">
        <v>259</v>
      </c>
      <c r="B2" s="9"/>
    </row>
    <row r="3" spans="1:3" x14ac:dyDescent="0.25">
      <c r="A3" s="133" t="s">
        <v>260</v>
      </c>
      <c r="B3" s="134"/>
    </row>
    <row r="4" spans="1:3" x14ac:dyDescent="0.25">
      <c r="A4" s="133" t="s">
        <v>261</v>
      </c>
      <c r="B4" s="134"/>
    </row>
    <row r="5" spans="1:3" x14ac:dyDescent="0.25">
      <c r="A5" s="133" t="s">
        <v>262</v>
      </c>
      <c r="B5" s="134"/>
    </row>
    <row r="6" spans="1:3" x14ac:dyDescent="0.25">
      <c r="A6" s="133" t="s">
        <v>263</v>
      </c>
      <c r="B6" s="134"/>
    </row>
    <row r="7" spans="1:3" ht="13.8" customHeight="1" thickBot="1" x14ac:dyDescent="0.3">
      <c r="A7" s="135" t="s">
        <v>264</v>
      </c>
      <c r="B7" s="136"/>
    </row>
    <row r="8" spans="1:3" ht="14.4" customHeight="1" thickTop="1" thickBot="1" x14ac:dyDescent="0.3">
      <c r="A8" s="5"/>
      <c r="C8" s="3" t="s">
        <v>265</v>
      </c>
    </row>
    <row r="9" spans="1:3" ht="13.8" customHeight="1" thickTop="1" x14ac:dyDescent="0.25">
      <c r="A9" s="12" t="s">
        <v>266</v>
      </c>
      <c r="B9" s="17" t="s">
        <v>33</v>
      </c>
    </row>
    <row r="10" spans="1:3" x14ac:dyDescent="0.25">
      <c r="A10" s="6" t="s">
        <v>267</v>
      </c>
      <c r="B10" s="10">
        <v>1</v>
      </c>
      <c r="C10" s="3" t="s">
        <v>268</v>
      </c>
    </row>
    <row r="11" spans="1:3" x14ac:dyDescent="0.25">
      <c r="A11" s="6"/>
      <c r="B11" s="10">
        <v>2</v>
      </c>
      <c r="C11" s="3" t="s">
        <v>269</v>
      </c>
    </row>
    <row r="12" spans="1:3" x14ac:dyDescent="0.25">
      <c r="A12" s="6"/>
      <c r="B12" s="10">
        <v>3</v>
      </c>
    </row>
    <row r="13" spans="1:3" x14ac:dyDescent="0.25">
      <c r="A13" s="6"/>
      <c r="B13" s="10">
        <v>4</v>
      </c>
      <c r="C13" s="3" t="s">
        <v>270</v>
      </c>
    </row>
    <row r="14" spans="1:3" x14ac:dyDescent="0.25">
      <c r="A14" s="6" t="s">
        <v>271</v>
      </c>
      <c r="B14" s="10">
        <v>5</v>
      </c>
      <c r="C14" s="3" t="s">
        <v>272</v>
      </c>
    </row>
    <row r="15" spans="1:3" x14ac:dyDescent="0.25">
      <c r="A15" s="6"/>
      <c r="B15" s="10">
        <v>6</v>
      </c>
    </row>
    <row r="16" spans="1:3" x14ac:dyDescent="0.25">
      <c r="A16" s="6"/>
      <c r="B16" s="10">
        <v>7</v>
      </c>
    </row>
    <row r="17" spans="1:3" x14ac:dyDescent="0.25">
      <c r="A17" s="6" t="s">
        <v>273</v>
      </c>
      <c r="B17" s="10">
        <v>8</v>
      </c>
      <c r="C17" s="3" t="s">
        <v>274</v>
      </c>
    </row>
    <row r="18" spans="1:3" x14ac:dyDescent="0.25">
      <c r="A18" s="6"/>
      <c r="B18" s="10">
        <v>9</v>
      </c>
      <c r="C18" s="3" t="s">
        <v>275</v>
      </c>
    </row>
    <row r="19" spans="1:3" ht="13.8" customHeight="1" thickBot="1" x14ac:dyDescent="0.3">
      <c r="A19" s="7" t="s">
        <v>276</v>
      </c>
      <c r="B19" s="11">
        <v>10</v>
      </c>
      <c r="C19" s="3" t="s">
        <v>277</v>
      </c>
    </row>
    <row r="20" spans="1:3" ht="14.4" customHeight="1" thickTop="1" thickBot="1" x14ac:dyDescent="0.3"/>
    <row r="21" spans="1:3" ht="13.8" customHeight="1" thickTop="1" x14ac:dyDescent="0.25">
      <c r="A21" s="12" t="s">
        <v>278</v>
      </c>
      <c r="B21" s="17" t="s">
        <v>279</v>
      </c>
    </row>
    <row r="22" spans="1:3" x14ac:dyDescent="0.25">
      <c r="A22" s="6" t="s">
        <v>280</v>
      </c>
      <c r="B22" s="10">
        <v>1</v>
      </c>
      <c r="C22" s="3" t="s">
        <v>281</v>
      </c>
    </row>
    <row r="23" spans="1:3" x14ac:dyDescent="0.25">
      <c r="A23" s="6"/>
      <c r="B23" s="10">
        <v>2</v>
      </c>
      <c r="C23" s="3" t="s">
        <v>282</v>
      </c>
    </row>
    <row r="24" spans="1:3" x14ac:dyDescent="0.25">
      <c r="A24" s="6"/>
      <c r="B24" s="10">
        <v>3</v>
      </c>
      <c r="C24" s="3" t="s">
        <v>283</v>
      </c>
    </row>
    <row r="25" spans="1:3" x14ac:dyDescent="0.25">
      <c r="A25" s="6"/>
      <c r="B25" s="10">
        <v>4</v>
      </c>
    </row>
    <row r="26" spans="1:3" x14ac:dyDescent="0.25">
      <c r="A26" s="6" t="s">
        <v>284</v>
      </c>
      <c r="B26" s="10">
        <v>5</v>
      </c>
      <c r="C26" s="3" t="s">
        <v>285</v>
      </c>
    </row>
    <row r="27" spans="1:3" x14ac:dyDescent="0.25">
      <c r="A27" s="6"/>
      <c r="B27" s="10">
        <v>6</v>
      </c>
    </row>
    <row r="28" spans="1:3" x14ac:dyDescent="0.25">
      <c r="A28" s="6"/>
      <c r="B28" s="10">
        <v>7</v>
      </c>
    </row>
    <row r="29" spans="1:3" x14ac:dyDescent="0.25">
      <c r="A29" s="6"/>
      <c r="B29" s="10">
        <v>8</v>
      </c>
      <c r="C29" s="3" t="s">
        <v>286</v>
      </c>
    </row>
    <row r="30" spans="1:3" x14ac:dyDescent="0.25">
      <c r="A30" s="6"/>
      <c r="B30" s="10">
        <v>9</v>
      </c>
    </row>
    <row r="31" spans="1:3" ht="13.8" customHeight="1" thickBot="1" x14ac:dyDescent="0.3">
      <c r="A31" s="7" t="s">
        <v>287</v>
      </c>
      <c r="B31" s="11">
        <v>10</v>
      </c>
      <c r="C31" s="3" t="s">
        <v>288</v>
      </c>
    </row>
    <row r="32" spans="1:3" ht="14.4" customHeight="1" thickTop="1" thickBot="1" x14ac:dyDescent="0.3"/>
    <row r="33" spans="1:3" ht="13.8" customHeight="1" thickTop="1" x14ac:dyDescent="0.25">
      <c r="A33" s="12" t="s">
        <v>289</v>
      </c>
      <c r="B33" s="17" t="s">
        <v>41</v>
      </c>
    </row>
    <row r="34" spans="1:3" x14ac:dyDescent="0.25">
      <c r="A34" s="6" t="s">
        <v>290</v>
      </c>
      <c r="B34" s="10">
        <v>1</v>
      </c>
      <c r="C34" s="3" t="s">
        <v>288</v>
      </c>
    </row>
    <row r="35" spans="1:3" x14ac:dyDescent="0.25">
      <c r="A35" s="6"/>
      <c r="B35" s="10">
        <v>2</v>
      </c>
    </row>
    <row r="36" spans="1:3" x14ac:dyDescent="0.25">
      <c r="A36" s="6"/>
      <c r="B36" s="10">
        <v>3</v>
      </c>
      <c r="C36" s="3" t="s">
        <v>286</v>
      </c>
    </row>
    <row r="37" spans="1:3" x14ac:dyDescent="0.25">
      <c r="A37" s="6"/>
      <c r="B37" s="10">
        <v>4</v>
      </c>
    </row>
    <row r="38" spans="1:3" x14ac:dyDescent="0.25">
      <c r="A38" s="6" t="s">
        <v>291</v>
      </c>
      <c r="B38" s="10">
        <v>5</v>
      </c>
      <c r="C38" s="3" t="s">
        <v>285</v>
      </c>
    </row>
    <row r="39" spans="1:3" x14ac:dyDescent="0.25">
      <c r="A39" s="6"/>
      <c r="B39" s="10">
        <v>6</v>
      </c>
    </row>
    <row r="40" spans="1:3" x14ac:dyDescent="0.25">
      <c r="A40" s="6"/>
      <c r="B40" s="10">
        <v>7</v>
      </c>
    </row>
    <row r="41" spans="1:3" x14ac:dyDescent="0.25">
      <c r="A41" s="6"/>
      <c r="B41" s="10">
        <v>8</v>
      </c>
      <c r="C41" s="3" t="s">
        <v>283</v>
      </c>
    </row>
    <row r="42" spans="1:3" x14ac:dyDescent="0.25">
      <c r="A42" s="6"/>
      <c r="B42" s="10">
        <v>9</v>
      </c>
      <c r="C42" s="3" t="s">
        <v>282</v>
      </c>
    </row>
    <row r="43" spans="1:3" ht="13.8" customHeight="1" thickBot="1" x14ac:dyDescent="0.3">
      <c r="A43" s="7" t="s">
        <v>292</v>
      </c>
      <c r="B43" s="11">
        <v>10</v>
      </c>
      <c r="C43" s="3" t="s">
        <v>281</v>
      </c>
    </row>
    <row r="44" spans="1:3" ht="13.8" customHeight="1" thickTop="1" x14ac:dyDescent="0.25"/>
  </sheetData>
  <mergeCells count="5">
    <mergeCell ref="A4:B4"/>
    <mergeCell ref="A7:B7"/>
    <mergeCell ref="A5:B5"/>
    <mergeCell ref="A3:B3"/>
    <mergeCell ref="A6:B6"/>
  </mergeCell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Instructions</vt:lpstr>
      <vt:lpstr>PFMEA</vt:lpstr>
      <vt:lpstr>P-DET</vt:lpstr>
      <vt:lpstr>P-OCC</vt:lpstr>
      <vt:lpstr>P-SEV</vt:lpstr>
      <vt:lpstr>Assumptions</vt:lpstr>
      <vt:lpstr>Det</vt:lpstr>
      <vt:lpstr>Occur</vt:lpstr>
      <vt:lpstr>'P-DET'!Print_Area</vt:lpstr>
      <vt:lpstr>'P-OCC'!Print_Area</vt:lpstr>
      <vt:lpstr>'P-SEV'!Print_Area</vt:lpstr>
      <vt:lpstr>Sev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 Caruso</dc:creator>
  <cp:lastModifiedBy>Selva Jeyaseelan</cp:lastModifiedBy>
  <cp:lastPrinted>2016-10-17T17:20:51Z</cp:lastPrinted>
  <dcterms:created xsi:type="dcterms:W3CDTF">2013-09-18T19:55:11Z</dcterms:created>
  <dcterms:modified xsi:type="dcterms:W3CDTF">2026-09-06T11:40:35Z</dcterms:modified>
</cp:coreProperties>
</file>