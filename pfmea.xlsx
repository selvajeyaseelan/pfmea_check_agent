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IITM_MTech\Python Practice\pfmea_Agent_6_sep\"/>
    </mc:Choice>
  </mc:AlternateContent>
  <xr:revisionPtr revIDLastSave="0" documentId="8_{9C767E8A-A5A3-480D-BBA6-DFAF0D53E5B9}" xr6:coauthVersionLast="47" xr6:coauthVersionMax="47" xr10:uidLastSave="{00000000-0000-0000-0000-000000000000}"/>
  <bookViews>
    <workbookView xWindow="28680" yWindow="-1770" windowWidth="29040" windowHeight="15720" activeTab="1" xr2:uid="{00000000-000D-0000-FFFF-FFFF00000000}"/>
  </bookViews>
  <sheets>
    <sheet name="Instructions" sheetId="5" r:id="rId1"/>
    <sheet name="PFMEA" sheetId="1" r:id="rId2"/>
    <sheet name="P-DET" sheetId="8" r:id="rId3"/>
    <sheet name="P-OCC" sheetId="7" r:id="rId4"/>
    <sheet name="P-SEV" sheetId="6" r:id="rId5"/>
    <sheet name="Assumptions" sheetId="4" r:id="rId6"/>
  </sheets>
  <externalReferences>
    <externalReference r:id="rId7"/>
  </externalReferences>
  <definedNames>
    <definedName name="CustCoC">'[1]Summary 1'!$R$41</definedName>
    <definedName name="d" localSheetId="3">#REF!</definedName>
    <definedName name="d">#REF!</definedName>
    <definedName name="data" localSheetId="3">#REF!</definedName>
    <definedName name="data">#REF!</definedName>
    <definedName name="_xlnm.Database" localSheetId="3">#REF!</definedName>
    <definedName name="_xlnm.Database">#REF!</definedName>
    <definedName name="Det">Assumptions!$B$34:$B$43</definedName>
    <definedName name="FF1_Programming" localSheetId="3">#REF!</definedName>
    <definedName name="FF1_Programming">#REF!</definedName>
    <definedName name="FF2_Programming">#REF!</definedName>
    <definedName name="Hello">#REF!</definedName>
    <definedName name="Hello1">#REF!</definedName>
    <definedName name="NEI_FF1" localSheetId="3">#REF!</definedName>
    <definedName name="NEI_FF1">#REF!</definedName>
    <definedName name="Occur">Assumptions!$B$22:$B$31</definedName>
    <definedName name="Overall" localSheetId="3">#REF!</definedName>
    <definedName name="Overall">#REF!</definedName>
    <definedName name="p">#REF!</definedName>
    <definedName name="Plage">#REF!</definedName>
    <definedName name="_xlnm.Print_Area" localSheetId="2">'P-DET'!$A$1:$I$15</definedName>
    <definedName name="_xlnm.Print_Area" localSheetId="3">'P-OCC'!$A$1:$K$17</definedName>
    <definedName name="_xlnm.Print_Area" localSheetId="4">'P-SEV'!$A$1:$H$15</definedName>
    <definedName name="Sev">Assumptions!$B$10:$B$19</definedName>
    <definedName name="ww">TRUE</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1" l="1"/>
  <c r="R15" i="1" s="1"/>
  <c r="K14" i="1"/>
  <c r="R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 Osterhouse</author>
    <author>Tam To</author>
  </authors>
  <commentList>
    <comment ref="E3" authorId="0" shapeId="0" xr:uid="{30DF9BAA-5681-41C6-A0A8-A3EB316A7466}">
      <text>
        <r>
          <rPr>
            <sz val="10"/>
            <color indexed="81"/>
            <rFont val="Tahoma"/>
            <family val="2"/>
          </rPr>
          <t>Use this range if assembly has been mistake proofed.</t>
        </r>
      </text>
    </comment>
    <comment ref="F3" authorId="0" shapeId="0" xr:uid="{653578C7-62C2-44C7-B244-68EE297EF67B}">
      <text>
        <r>
          <rPr>
            <sz val="10"/>
            <color indexed="81"/>
            <rFont val="Tahoma"/>
            <family val="2"/>
          </rPr>
          <t>Use this range if gauging is the protection method.</t>
        </r>
      </text>
    </comment>
    <comment ref="G3" authorId="0" shapeId="0" xr:uid="{72F1740C-F740-4DDE-9568-12BE144EB19E}">
      <text>
        <r>
          <rPr>
            <sz val="10"/>
            <color indexed="81"/>
            <rFont val="Tahoma"/>
            <family val="2"/>
          </rPr>
          <t>Use this range if the process is counting on someone's eyes or hands.</t>
        </r>
      </text>
    </comment>
    <comment ref="H3" authorId="1" shapeId="0" xr:uid="{1489A350-C9C1-4114-AEC8-7DDD6596C938}">
      <text>
        <r>
          <rPr>
            <sz val="9"/>
            <color indexed="81"/>
            <rFont val="Tahoma"/>
            <family val="2"/>
          </rPr>
          <t>The team may define specific examples for each ranking category.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B3" authorId="0" shapeId="0" xr:uid="{EEB39A4A-2C5C-4A8A-B29B-033070643AAB}">
      <text>
        <r>
          <rPr>
            <b/>
            <sz val="9"/>
            <color indexed="81"/>
            <rFont val="Tahoma"/>
            <family val="2"/>
          </rPr>
          <t>The team should agree on the occurrence criteria and ranking values. Select one way to assess the occurrence and then consistently apply that scale.</t>
        </r>
      </text>
    </comment>
    <comment ref="J3" authorId="0" shapeId="0" xr:uid="{1620CFB8-7C52-4FE8-BD4F-340849D4DF69}">
      <text>
        <r>
          <rPr>
            <sz val="9"/>
            <color indexed="81"/>
            <rFont val="Tahoma"/>
            <family val="2"/>
          </rPr>
          <t>The team may define specific examples for each ranking category.</t>
        </r>
      </text>
    </comment>
    <comment ref="G4" authorId="0" shapeId="0" xr:uid="{CEF5DF53-C0A9-451D-884E-5EAB87E3C32E}">
      <text>
        <r>
          <rPr>
            <sz val="9"/>
            <color indexed="81"/>
            <rFont val="Tahoma"/>
            <family val="2"/>
          </rPr>
          <t>This column represents time based examples at a higher volume of production. Either this column or column F may be used as a reference. The team may adjust based on the product's volume of production.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Tam To</author>
  </authors>
  <commentList>
    <comment ref="G3" authorId="0" shapeId="0" xr:uid="{7FB99426-6352-43CC-A998-61505A9A1C69}">
      <text>
        <r>
          <rPr>
            <sz val="9"/>
            <color indexed="81"/>
            <rFont val="Tahoma"/>
            <family val="2"/>
          </rPr>
          <t>The team may define specific examples for each ranking category.</t>
        </r>
      </text>
    </comment>
  </commentList>
</comments>
</file>

<file path=xl/sharedStrings.xml><?xml version="1.0" encoding="utf-8"?>
<sst xmlns="http://schemas.openxmlformats.org/spreadsheetml/2006/main" count="289" uniqueCount="246">
  <si>
    <t>Quality Tools</t>
  </si>
  <si>
    <t>Description</t>
  </si>
  <si>
    <t>Instructions</t>
  </si>
  <si>
    <t>●</t>
  </si>
  <si>
    <t>Initiate action to reduce the RPN</t>
  </si>
  <si>
    <t>Re-evaluate the RPN value after completion of the recommended actions</t>
  </si>
  <si>
    <t>Item:</t>
  </si>
  <si>
    <t>Responsibility:</t>
  </si>
  <si>
    <t>FMEA number:</t>
  </si>
  <si>
    <t>Prepared by:</t>
  </si>
  <si>
    <t>Page :</t>
  </si>
  <si>
    <t>Core Team:</t>
  </si>
  <si>
    <t>FMEA Date (Orig):</t>
  </si>
  <si>
    <t>Rev:</t>
  </si>
  <si>
    <t>Potential Failure Mode</t>
  </si>
  <si>
    <t>Potential Effect(s) of Failure</t>
  </si>
  <si>
    <t>Sev</t>
  </si>
  <si>
    <t>Potential Cause(s)/ Mechanism(s) of Failure</t>
  </si>
  <si>
    <t>Occur</t>
  </si>
  <si>
    <t>RPN</t>
  </si>
  <si>
    <t>Recommended Action(s)</t>
  </si>
  <si>
    <t>Responsibility and Target Completion Date</t>
  </si>
  <si>
    <t>Action Results</t>
  </si>
  <si>
    <t>Actions Taken</t>
  </si>
  <si>
    <t>Occ</t>
  </si>
  <si>
    <t>Det</t>
  </si>
  <si>
    <t>Parameters:</t>
  </si>
  <si>
    <t>Value</t>
  </si>
  <si>
    <t>RPN triggering requiring mitigation action:</t>
  </si>
  <si>
    <t>Severity (Sev) requiring mitigation action regardless of RPN:</t>
  </si>
  <si>
    <t>Assumptions for this PFMEA:</t>
  </si>
  <si>
    <t>2.</t>
  </si>
  <si>
    <t>3.</t>
  </si>
  <si>
    <t>4.</t>
  </si>
  <si>
    <t>5.</t>
  </si>
  <si>
    <t>Misc. Assumptions: (itemize and describe below)</t>
  </si>
  <si>
    <t>Severity (Sev): (alter if needed to be appropriate for this PFMEA)</t>
  </si>
  <si>
    <t>Occurrence (Occur): (alter if needed to be appropriate for this PFMEA)</t>
  </si>
  <si>
    <t>Detection (Detec): (alter if needed to be appropriate for this PFMEA)</t>
  </si>
  <si>
    <t>moderate severity</t>
  </si>
  <si>
    <t>the lowest severity</t>
  </si>
  <si>
    <t>the highest severity</t>
  </si>
  <si>
    <t>high severity / trigger level for mitigation action required</t>
  </si>
  <si>
    <t>moderately likely to occur</t>
  </si>
  <si>
    <t>the lowest likelihood of occurrence</t>
  </si>
  <si>
    <t>the highest likelihood of occurrence</t>
  </si>
  <si>
    <t>moderate ability to detect</t>
  </si>
  <si>
    <t>the highest ability to detect</t>
  </si>
  <si>
    <t>the lowest ability to detect</t>
  </si>
  <si>
    <t>Customer is inconvenienced and/or annoyed</t>
  </si>
  <si>
    <t>Examples:</t>
  </si>
  <si>
    <t>User is unlikely to notice and/or a cosmetic item</t>
  </si>
  <si>
    <t>1 in 3 chance</t>
  </si>
  <si>
    <t>nearly 100% / very probable</t>
  </si>
  <si>
    <t>nearly 0% / very improbable</t>
  </si>
  <si>
    <t>1 in 2 chance</t>
  </si>
  <si>
    <t>1 in 100 chance</t>
  </si>
  <si>
    <t>1 in 10 chance</t>
  </si>
  <si>
    <t>FMEA Date (Cur):</t>
  </si>
  <si>
    <t>Potential to cause operator anxiety or uncertainty</t>
  </si>
  <si>
    <t>Not performed the intended test, may require some later action</t>
  </si>
  <si>
    <t>Bodily harm caused to operator</t>
  </si>
  <si>
    <t>Severe bodily harm caused to operator</t>
  </si>
  <si>
    <t>Test will be performed with a potentially inaccurate/incorrect result</t>
  </si>
  <si>
    <t>1.  All provisions of Product Resources' ISO 9001 QMS apply and are implemented.</t>
  </si>
  <si>
    <t>Filename</t>
  </si>
  <si>
    <t>Failure Mode and Effects Analysis</t>
  </si>
  <si>
    <t>Please see the guidance in 90-2000-7.1 regarding FMEA process before beginning an FMEA</t>
  </si>
  <si>
    <t xml:space="preserve"> Process</t>
  </si>
  <si>
    <t xml:space="preserve">This template is for use by Product Resources to record the Process Failure Mode and Effects Analysis (DFMEA) for medical and other devices.  FMEA is also referred to as Failure Modes, Effects, and Criticality Analysis (FMECA).  </t>
  </si>
  <si>
    <t>Process FMEA</t>
  </si>
  <si>
    <t>PFMEA Agent Instructions / Rules</t>
  </si>
  <si>
    <t>FMEA is a risk management tool which factors in the effects of failure, the occurane frequency and the effectiveness of detection controls</t>
  </si>
  <si>
    <t>Severity of failure is determined by what text is written in the column titled Potential Effects of failure</t>
  </si>
  <si>
    <t>One failure mode can have multiple effects of failure</t>
  </si>
  <si>
    <t>The Effects of failure must be recorded at various places: NP: Next Process, CE: Customer End (OEM), EU: End User (Car User), Regulatory Body</t>
  </si>
  <si>
    <t>The highest severity score must be choosen for a given failure mode</t>
  </si>
  <si>
    <t>Occurrence score is decided based on the frequency of occurance of the cause of failure along with the current process prevention controls</t>
  </si>
  <si>
    <t>Detection score is decided based on the current process detection controls</t>
  </si>
  <si>
    <t xml:space="preserve">Each </t>
  </si>
  <si>
    <t>RPN is a product of severity,occurrences and detection values</t>
  </si>
  <si>
    <t>Always use the Severity, Occurance and Detection values available on the extreme right column after the Recommended actions column. If not available, use the S,O,D values to the left of recommended actions column</t>
  </si>
  <si>
    <t>It is assumed that the severity, occurance and detection scores entered by the suppliers are accurate for that particulare failure mode / process step</t>
  </si>
  <si>
    <t>The AI agent ony verifies if 1) the effects of failure and severity scores are accurately mapped 2) if the detection controls and detection scores are accurately mapped</t>
  </si>
  <si>
    <t>The AI agent verifies the accuracy of the severity zone, detection zone and risk priority level based on the risk limiting sheet matrix</t>
  </si>
  <si>
    <t>The definition of determining the severity scores  &amp; detection scores are taking from AIAG PFMEA standard 4th edition</t>
  </si>
  <si>
    <t>The AI agent does not directly evaluate the occurrence score since this entirely depends on the expertise of the supplier in preventing the cause of failure and the current prevention controls they have (which is non numeric)</t>
  </si>
  <si>
    <t>The AI agent identifies rows where Cls column in filled (Key Critical &amp; Significant Characteristics)</t>
  </si>
  <si>
    <t>The AI agent performs the DFMEA - PFMEA gap analysis: For rows with severity 9 and 10, the detection must be 3 or below</t>
  </si>
  <si>
    <t>Steps</t>
  </si>
  <si>
    <t>Uniquely identify these columns 1) Potential Effects of failure 2) Sev 3) Current process controls - detection 4) Det  5) RPN values 6) Recommended Actions 7) Sev 8) Occ 9) Det 10) RPN</t>
  </si>
  <si>
    <t>Indentify column named RPN to the left of recommended actions column (Future improvements, detect RPN,S,O,D columns to right of recommended actions)</t>
  </si>
  <si>
    <t>Identify cells ot the left of 'Sev' Column. They must have severity scores affecting different stake holders (NP: Next Process, S: Supplier, C: Customer (OEM), EU: End User, Regulatory body</t>
  </si>
  <si>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</si>
  <si>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</si>
  <si>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</si>
  <si>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</si>
  <si>
    <t>Cls</t>
  </si>
  <si>
    <t>Template Issue date 2019NOV26</t>
  </si>
  <si>
    <r>
      <t xml:space="preserve">PFMEA - Severity
</t>
    </r>
    <r>
      <rPr>
        <sz val="11"/>
        <rFont val="Calibri"/>
        <family val="2"/>
        <scheme val="minor"/>
      </rPr>
      <t>The team should agree on the criteria and ranking values. Select one way and consistently apply that scale.</t>
    </r>
  </si>
  <si>
    <t>References</t>
  </si>
  <si>
    <t>Modified from J1739 / AS13004</t>
  </si>
  <si>
    <t>Example</t>
  </si>
  <si>
    <t>Effect</t>
  </si>
  <si>
    <t>Severity of Effect on Product (Customer Effect)</t>
  </si>
  <si>
    <t>Ranking</t>
  </si>
  <si>
    <t>Category</t>
  </si>
  <si>
    <t>Severity of Effect on Process (Manufacturing / Assembly Effect)</t>
  </si>
  <si>
    <t>Failure to meet safety and/or regulatory requirements</t>
  </si>
  <si>
    <t>Potential failure mode affects safe operation and/or involves noncompliance with regulations without warning</t>
  </si>
  <si>
    <t>May endanger operator, machine or assembly without warning.</t>
  </si>
  <si>
    <t>Potential failure mode affects safe operation and/or involves noncompliance with regulations with warning</t>
  </si>
  <si>
    <t>May endanger operator, machine or assembly with warning.</t>
  </si>
  <si>
    <t>Loss or degradation of primary function</t>
  </si>
  <si>
    <t>Loss of primary function (product inoperable, does not affect safe operation)</t>
  </si>
  <si>
    <t>Major disruption</t>
  </si>
  <si>
    <t>100% of product may have to be scrapped. Line shutdown or stop ship.</t>
  </si>
  <si>
    <t>Degradation of primary function (product operable, but at a reduced level of performance)</t>
  </si>
  <si>
    <t>Significant disruption</t>
  </si>
  <si>
    <t>A portion of the production run may have to be scrapped. Deviation from primary process; decreased line speed or added manpower).</t>
  </si>
  <si>
    <t>Loss or degradation of secondary function</t>
  </si>
  <si>
    <t xml:space="preserve">Loss of secondary function (product operable but service life greatly reduced, convenience item(s) inoperable, customer dissatisfied) </t>
  </si>
  <si>
    <t>Moderate disruption</t>
  </si>
  <si>
    <t>100% of production run may have to be reworked off line and accepted</t>
  </si>
  <si>
    <t>Degradation of secondary function (product operable but appearance affected, convenience item(s)  operable at a reduced level, customer dissatisfied.</t>
  </si>
  <si>
    <t xml:space="preserve">A proportion of the production run may have to be reworked off line and acepted </t>
  </si>
  <si>
    <t>Annoyance</t>
  </si>
  <si>
    <t>Appearance, fit and finish type items do not conform, defect noticed by most of the customers (&gt;75%)</t>
  </si>
  <si>
    <t>100% of production run may have to be reworked in station before it is processed.</t>
  </si>
  <si>
    <t>Appearance, fit and finish type items do not conform, defect noticed by about half of the customers (50%)</t>
  </si>
  <si>
    <t>A proportion of the production run may have to be reworked in station before it is processed.</t>
  </si>
  <si>
    <t>Appearance, fit and finish type items do not conform, defect noticed by discriminating customers (&lt;25%)</t>
  </si>
  <si>
    <t>Minor disruption</t>
  </si>
  <si>
    <t>Slight inconvenience to process, operation or operator.</t>
  </si>
  <si>
    <t>No effect</t>
  </si>
  <si>
    <t>No discernible effect</t>
  </si>
  <si>
    <t>© 2019 IAQG  The IAQG is a legally incorporated international not for profit association (INPA) with membership from the Americas, Europe and the Asia Pacific Region (Rev. 08-2015)</t>
  </si>
  <si>
    <t>Return to PFMEA</t>
  </si>
  <si>
    <r>
      <t xml:space="preserve">PFMEA - Occurrence
</t>
    </r>
    <r>
      <rPr>
        <sz val="11"/>
        <rFont val="Calibri"/>
        <family val="2"/>
        <scheme val="minor"/>
      </rPr>
      <t>The team should agree on the criteria and ranking values. Select one way and consistently apply that scale.</t>
    </r>
  </si>
  <si>
    <t>J1739</t>
  </si>
  <si>
    <t>AS13004</t>
  </si>
  <si>
    <t>AIAG FMEA - 4th Edition</t>
  </si>
  <si>
    <t>Examples</t>
  </si>
  <si>
    <t>Likelihood of
Failure</t>
  </si>
  <si>
    <t>Low volume production</t>
  </si>
  <si>
    <t>Process PPM</t>
  </si>
  <si>
    <t>Time-Based Example</t>
  </si>
  <si>
    <t>High volume production</t>
  </si>
  <si>
    <t>Likelihood of Cause</t>
  </si>
  <si>
    <t>Incidents per item/unit</t>
  </si>
  <si>
    <t>Very High</t>
  </si>
  <si>
    <t>100% of production</t>
  </si>
  <si>
    <r>
      <rPr>
        <u/>
        <sz val="10"/>
        <color theme="1"/>
        <rFont val="Calibri"/>
        <family val="2"/>
        <scheme val="minor"/>
      </rPr>
      <t>&gt;</t>
    </r>
    <r>
      <rPr>
        <sz val="10"/>
        <rFont val="Arial"/>
      </rPr>
      <t>1 per occurrence per shift</t>
    </r>
  </si>
  <si>
    <r>
      <rPr>
        <u/>
        <sz val="10"/>
        <color theme="1"/>
        <rFont val="Calibri"/>
        <family val="2"/>
        <scheme val="minor"/>
      </rPr>
      <t>&gt;</t>
    </r>
    <r>
      <rPr>
        <sz val="10"/>
        <rFont val="Arial"/>
      </rPr>
      <t xml:space="preserve"> 1 per occurrence per shift</t>
    </r>
  </si>
  <si>
    <t>1 in 10</t>
  </si>
  <si>
    <r>
      <rPr>
        <u/>
        <sz val="10"/>
        <color theme="1"/>
        <rFont val="Calibri"/>
        <family val="2"/>
        <scheme val="minor"/>
      </rPr>
      <t>&gt;</t>
    </r>
    <r>
      <rPr>
        <sz val="10"/>
        <rFont val="Arial"/>
      </rPr>
      <t xml:space="preserve"> 100 per thousand</t>
    </r>
  </si>
  <si>
    <t>High</t>
  </si>
  <si>
    <t>50% of production</t>
  </si>
  <si>
    <r>
      <rPr>
        <u/>
        <sz val="10"/>
        <color theme="1"/>
        <rFont val="Calibri"/>
        <family val="2"/>
        <scheme val="minor"/>
      </rPr>
      <t>&gt;</t>
    </r>
    <r>
      <rPr>
        <sz val="10"/>
        <rFont val="Arial"/>
      </rPr>
      <t>1 per occurrence per day</t>
    </r>
  </si>
  <si>
    <r>
      <rPr>
        <u/>
        <sz val="10"/>
        <color theme="1"/>
        <rFont val="Calibri"/>
        <family val="2"/>
        <scheme val="minor"/>
      </rPr>
      <t>&gt;</t>
    </r>
    <r>
      <rPr>
        <sz val="10"/>
        <rFont val="Arial"/>
      </rPr>
      <t xml:space="preserve"> 1 per occurrence per day</t>
    </r>
  </si>
  <si>
    <t>1 in 20</t>
  </si>
  <si>
    <t>50 per thousand</t>
  </si>
  <si>
    <t>20% of production</t>
  </si>
  <si>
    <r>
      <rPr>
        <u/>
        <sz val="10"/>
        <color theme="1"/>
        <rFont val="Calibri"/>
        <family val="2"/>
        <scheme val="minor"/>
      </rPr>
      <t>&gt;</t>
    </r>
    <r>
      <rPr>
        <sz val="10"/>
        <rFont val="Arial"/>
      </rPr>
      <t>1 per 2-3 days</t>
    </r>
  </si>
  <si>
    <t>1 in 50</t>
  </si>
  <si>
    <t>20 per thousand</t>
  </si>
  <si>
    <t>10% of production</t>
  </si>
  <si>
    <r>
      <rPr>
        <u/>
        <sz val="10"/>
        <color theme="1"/>
        <rFont val="Calibri"/>
        <family val="2"/>
        <scheme val="minor"/>
      </rPr>
      <t>&gt;</t>
    </r>
    <r>
      <rPr>
        <sz val="10"/>
        <rFont val="Arial"/>
      </rPr>
      <t>1 per week</t>
    </r>
  </si>
  <si>
    <r>
      <rPr>
        <u/>
        <sz val="10"/>
        <color theme="1"/>
        <rFont val="Calibri"/>
        <family val="2"/>
        <scheme val="minor"/>
      </rPr>
      <t>&gt;</t>
    </r>
    <r>
      <rPr>
        <sz val="10"/>
        <rFont val="Arial"/>
      </rPr>
      <t xml:space="preserve"> 1 per week</t>
    </r>
  </si>
  <si>
    <t>1 in 100</t>
  </si>
  <si>
    <t>10 per thousand</t>
  </si>
  <si>
    <t>Moderate</t>
  </si>
  <si>
    <t>5% of production</t>
  </si>
  <si>
    <t>1 per month</t>
  </si>
  <si>
    <r>
      <rPr>
        <u/>
        <sz val="10"/>
        <color theme="1"/>
        <rFont val="Calibri"/>
        <family val="2"/>
        <scheme val="minor"/>
      </rPr>
      <t>&gt;</t>
    </r>
    <r>
      <rPr>
        <sz val="10"/>
        <rFont val="Arial"/>
      </rPr>
      <t>1 per 2 weeks</t>
    </r>
  </si>
  <si>
    <t>1 in 500</t>
  </si>
  <si>
    <t>2 per thousand</t>
  </si>
  <si>
    <t>0.5% of production</t>
  </si>
  <si>
    <t>2 per year</t>
  </si>
  <si>
    <r>
      <rPr>
        <u/>
        <sz val="10"/>
        <color theme="1"/>
        <rFont val="Calibri"/>
        <family val="2"/>
        <scheme val="minor"/>
      </rPr>
      <t>&gt;</t>
    </r>
    <r>
      <rPr>
        <sz val="10"/>
        <rFont val="Arial"/>
      </rPr>
      <t>1 per quarter</t>
    </r>
  </si>
  <si>
    <t>1 in 2,000</t>
  </si>
  <si>
    <t>.5 per thousand</t>
  </si>
  <si>
    <t>0.1% of production</t>
  </si>
  <si>
    <t>1 per year</t>
  </si>
  <si>
    <r>
      <rPr>
        <u/>
        <sz val="10"/>
        <color theme="1"/>
        <rFont val="Calibri"/>
        <family val="2"/>
        <scheme val="minor"/>
      </rPr>
      <t>&gt;</t>
    </r>
    <r>
      <rPr>
        <sz val="10"/>
        <rFont val="Arial"/>
      </rPr>
      <t>1 per half year</t>
    </r>
  </si>
  <si>
    <t>1 in 10,000</t>
  </si>
  <si>
    <t>.1 per thousand</t>
  </si>
  <si>
    <t>Low</t>
  </si>
  <si>
    <t>0.05% of production</t>
  </si>
  <si>
    <t>1 per 5 years</t>
  </si>
  <si>
    <r>
      <rPr>
        <u/>
        <sz val="10"/>
        <color theme="1"/>
        <rFont val="Calibri"/>
        <family val="2"/>
        <scheme val="minor"/>
      </rPr>
      <t>&gt;</t>
    </r>
    <r>
      <rPr>
        <sz val="10"/>
        <rFont val="Arial"/>
      </rPr>
      <t>1 per year</t>
    </r>
  </si>
  <si>
    <t>1 in 100,000</t>
  </si>
  <si>
    <t>.01 per thousand</t>
  </si>
  <si>
    <t>0.01% of production</t>
  </si>
  <si>
    <t>1 per 10 years</t>
  </si>
  <si>
    <r>
      <t>&lt;</t>
    </r>
    <r>
      <rPr>
        <sz val="10"/>
        <rFont val="Arial"/>
      </rPr>
      <t>1 per year</t>
    </r>
  </si>
  <si>
    <t>1 in 1,000,000</t>
  </si>
  <si>
    <r>
      <rPr>
        <u/>
        <sz val="8"/>
        <color theme="1"/>
        <rFont val="Arial"/>
        <family val="2"/>
      </rPr>
      <t>&lt;</t>
    </r>
    <r>
      <rPr>
        <sz val="10"/>
        <rFont val="Arial"/>
      </rPr>
      <t>.001 per thousand</t>
    </r>
  </si>
  <si>
    <t>Very Low</t>
  </si>
  <si>
    <t>Less than 0.01% of production</t>
  </si>
  <si>
    <t>&lt;1 per 10 years</t>
  </si>
  <si>
    <t>zero</t>
  </si>
  <si>
    <t>Never</t>
  </si>
  <si>
    <t>eliminated thru preventive controls</t>
  </si>
  <si>
    <r>
      <t xml:space="preserve">PFMEA - Detection
</t>
    </r>
    <r>
      <rPr>
        <b/>
        <sz val="11"/>
        <rFont val="Calibri"/>
        <family val="2"/>
        <scheme val="minor"/>
      </rPr>
      <t>The team should agree on the criteria and ranking values. Select one way and consistently apply that scale.</t>
    </r>
  </si>
  <si>
    <t xml:space="preserve"> Mistake-proofed</t>
  </si>
  <si>
    <t xml:space="preserve"> Gauged</t>
  </si>
  <si>
    <t xml:space="preserve"> Manual Inspection  </t>
  </si>
  <si>
    <t>Likelihood of Detection by Process Control - Category</t>
  </si>
  <si>
    <t>Likelihood of Detection by Process Control - Criteria</t>
  </si>
  <si>
    <t>Absolute Uncertainty</t>
  </si>
  <si>
    <t>No current process control; Cannot detect or compliance analysis is not performed.</t>
  </si>
  <si>
    <t xml:space="preserve">100% Human Inspection </t>
  </si>
  <si>
    <t>Difficult to Detect</t>
  </si>
  <si>
    <t>Defect (Failure Mode) and/or Error (Cause) in not easily detected (e.g. Random audits).</t>
  </si>
  <si>
    <t>Defect Detection Post Processing</t>
  </si>
  <si>
    <t>Defect (Failure Mode) detection post-processing by operator through visual/tactile/audible means with no boundary samples.</t>
  </si>
  <si>
    <t>Defect Detection at Source</t>
  </si>
  <si>
    <t>Defect (Failure Mode) detection in-station by operator through visual/tactile/audible means or post-processing through use of attribute gauging (go/no-go, manual torque check/clicker wrench, etc.) with no boundary samples.</t>
  </si>
  <si>
    <t>Manual gauging is used on every part</t>
  </si>
  <si>
    <t xml:space="preserve">Defect (Failure Mode) detection post-processing by operator through use of variable gauging or in-station by operator through use of attribute gauging (go/no-go, manual torque check/clicker wrench, etc,) with boundary samples. </t>
  </si>
  <si>
    <t>Defect (Failure Mode) or Error (Cause) detection in-station by operator through use of variable gauging or by automated controls that will detect discrepant part and notify operator (light, busser, etc.). Gauging performed on setup and first-piece check (for set-up causes ony).</t>
  </si>
  <si>
    <t>Automatic gauging or controls to detect discrepant part</t>
  </si>
  <si>
    <t>Defect (Failure Mode) detection post-processing by automated controls that will detect discrepant part and lock part to prevent further processing.</t>
  </si>
  <si>
    <t>Controls in place for mistake proofing the assembly</t>
  </si>
  <si>
    <t>Defect (Failure Mode) detection in-station by automated controls that will detect discrepant part and automatically lock part in station to prevent further processing.</t>
  </si>
  <si>
    <t>Error Detection and/or Defect Prevention</t>
  </si>
  <si>
    <t>Error (Cause) detection in-station by automated controls that will detect error and prevent discrepant part from being made.</t>
  </si>
  <si>
    <t>Detection not applicable</t>
  </si>
  <si>
    <t>Error (Cause) prevention as a result of fixture design, machine design or part design.</t>
  </si>
  <si>
    <t>Daily maintenace check sheet
Preventive Maintenance
Work instruction for grease refill</t>
  </si>
  <si>
    <t>Current 
Process Prevention
Controls</t>
  </si>
  <si>
    <t>Current 
Process Detection Controls
Controls</t>
  </si>
  <si>
    <t>More grease in the bearning</t>
  </si>
  <si>
    <t>First Off Approval (2)
Layered Process Audit (6)
Calibration report (6)</t>
  </si>
  <si>
    <t>S: A proportion of the production run may have to be reworked off line and accepted (5)
OEM: Potential failure mode affects safe operation and/or involves noncompliance with regulations with warning(9)</t>
  </si>
  <si>
    <t>"Visual check by operator (8) \n Automated laser interlock in-station (3)"</t>
  </si>
  <si>
    <t>Detection test scenario: Multiple Controls (Stated matches Weakest)</t>
  </si>
  <si>
    <t>Wheel damper</t>
  </si>
  <si>
    <t>Drive shaft</t>
  </si>
  <si>
    <t>Sunder Pichai, Sam Altman, Selva Jeyaseelan</t>
  </si>
  <si>
    <t>PROCESS FAILURE MODE AND EFFECTS ANALYSIS (PFMEA)</t>
  </si>
  <si>
    <t>Selva Jeyaseelan</t>
  </si>
  <si>
    <t>Donald Trump</t>
  </si>
  <si>
    <t>Severity Test:Defect text matches AIAG standard</t>
  </si>
  <si>
    <t>DFMEA PFMEA Gap analysis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</si>
</sst>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name val="Arial"/>
    </font>
    <font>
      <sz val="11"/>
      <color theme="1"/>
      <name val="Calibri"/>
      <family val="2"/>
      <scheme val="minor"/>
    </font>
    <font>
      <sz val="24"/>
      <color indexed="9"/>
      <name val="Tw Cen MT"/>
      <family val="2"/>
    </font>
    <font>
      <b/>
      <sz val="12"/>
      <color indexed="53"/>
      <name val="Verdana"/>
      <family val="2"/>
    </font>
    <font>
      <b/>
      <sz val="8"/>
      <color indexed="53"/>
      <name val="Verdana"/>
      <family val="2"/>
    </font>
    <font>
      <sz val="8"/>
      <name val="Verdana"/>
      <family val="2"/>
    </font>
    <font>
      <b/>
      <sz val="12"/>
      <name val="Arial"/>
      <family val="2"/>
    </font>
    <font>
      <sz val="10"/>
      <name val="Arial"/>
      <family val="2"/>
    </font>
    <font>
      <sz val="8"/>
      <name val="Arial"/>
      <family val="2"/>
    </font>
    <font>
      <sz val="24"/>
      <color rgb="FF0070C0"/>
      <name val="Arial"/>
      <family val="2"/>
    </font>
    <font>
      <b/>
      <sz val="11"/>
      <color theme="1"/>
      <name val="Calibri"/>
      <family val="2"/>
      <scheme val="minor"/>
    </font>
    <font>
      <sz val="10"/>
      <color theme="1"/>
      <name val="Arial"/>
      <family val="2"/>
    </font>
    <font>
      <sz val="11"/>
      <color indexed="8"/>
      <name val="Calibri"/>
      <family val="2"/>
    </font>
    <font>
      <sz val="10"/>
      <color indexed="8"/>
      <name val="Arial"/>
      <family val="2"/>
    </font>
    <font>
      <sz val="10"/>
      <color theme="1"/>
      <name val="Calibri"/>
      <family val="2"/>
      <scheme val="minor"/>
    </font>
    <font>
      <b/>
      <sz val="14"/>
      <name val="Calibri"/>
      <family val="2"/>
      <scheme val="minor"/>
    </font>
    <font>
      <sz val="11"/>
      <name val="Calibri"/>
      <family val="2"/>
      <scheme val="minor"/>
    </font>
    <font>
      <i/>
      <sz val="10"/>
      <color indexed="8"/>
      <name val="Calibri"/>
      <family val="2"/>
      <scheme val="minor"/>
    </font>
    <font>
      <b/>
      <sz val="11"/>
      <color indexed="8"/>
      <name val="Calibri"/>
      <family val="2"/>
      <scheme val="minor"/>
    </font>
    <font>
      <b/>
      <i/>
      <sz val="14"/>
      <name val="Calibri"/>
      <family val="2"/>
      <scheme val="minor"/>
    </font>
    <font>
      <sz val="10"/>
      <color theme="1"/>
      <name val="Calibri"/>
      <family val="2"/>
    </font>
    <font>
      <u/>
      <sz val="11"/>
      <color theme="10"/>
      <name val="Calibri"/>
      <family val="2"/>
    </font>
    <font>
      <sz val="9"/>
      <color indexed="81"/>
      <name val="Tahoma"/>
      <family val="2"/>
    </font>
    <font>
      <sz val="10"/>
      <name val="Calibri"/>
      <family val="2"/>
      <scheme val="minor"/>
    </font>
    <font>
      <u/>
      <sz val="10"/>
      <color theme="1"/>
      <name val="Calibri"/>
      <family val="2"/>
      <scheme val="minor"/>
    </font>
    <font>
      <u/>
      <sz val="8"/>
      <color theme="1"/>
      <name val="Arial"/>
      <family val="2"/>
    </font>
    <font>
      <sz val="8"/>
      <color theme="1"/>
      <name val="Calibri"/>
      <family val="2"/>
    </font>
    <font>
      <sz val="8"/>
      <color theme="1"/>
      <name val="Calibri"/>
      <family val="2"/>
      <scheme val="minor"/>
    </font>
    <font>
      <b/>
      <sz val="11"/>
      <color rgb="FF0000FF"/>
      <name val="Calibri"/>
      <family val="2"/>
      <scheme val="minor"/>
    </font>
    <font>
      <b/>
      <sz val="9"/>
      <color indexed="81"/>
      <name val="Tahoma"/>
      <family val="2"/>
    </font>
    <font>
      <b/>
      <sz val="11"/>
      <name val="Calibri"/>
      <family val="2"/>
      <scheme val="minor"/>
    </font>
    <font>
      <b/>
      <sz val="9"/>
      <name val="Arial"/>
      <family val="2"/>
    </font>
    <font>
      <b/>
      <sz val="11"/>
      <name val="Arial"/>
      <family val="2"/>
    </font>
    <font>
      <sz val="10"/>
      <color indexed="81"/>
      <name val="Tahoma"/>
      <family val="2"/>
    </font>
  </fonts>
  <fills count="17">
    <fill>
      <patternFill patternType="none"/>
    </fill>
    <fill>
      <patternFill patternType="gray125"/>
    </fill>
    <fill>
      <patternFill patternType="solid">
        <fgColor indexed="53"/>
        <bgColor indexed="64"/>
      </patternFill>
    </fill>
    <fill>
      <patternFill patternType="solid">
        <fgColor theme="0" tint="-0.14999847407452621"/>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s>
  <borders count="27">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7">
    <xf numFmtId="0" fontId="0" fillId="0" borderId="0"/>
    <xf numFmtId="0" fontId="1" fillId="0" borderId="0"/>
    <xf numFmtId="0" fontId="1" fillId="0" borderId="0"/>
    <xf numFmtId="0" fontId="12" fillId="0" borderId="0"/>
    <xf numFmtId="0" fontId="7" fillId="0" borderId="0"/>
    <xf numFmtId="0" fontId="11" fillId="0" borderId="0"/>
    <xf numFmtId="0" fontId="21" fillId="0" borderId="0" applyNumberFormat="0" applyFill="0" applyBorder="0" applyAlignment="0" applyProtection="0">
      <alignment vertical="top"/>
      <protection locked="0"/>
    </xf>
  </cellStyleXfs>
  <cellXfs count="137">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0" xfId="0" applyAlignment="1">
      <alignment wrapText="1"/>
    </xf>
    <xf numFmtId="0" fontId="0" fillId="0" borderId="4" xfId="0" applyBorder="1" applyAlignment="1">
      <alignment wrapText="1"/>
    </xf>
    <xf numFmtId="0" fontId="0" fillId="0" borderId="0" xfId="0" quotePrefix="1" applyAlignment="1">
      <alignment wrapText="1"/>
    </xf>
    <xf numFmtId="0" fontId="0" fillId="0" borderId="6" xfId="0" applyBorder="1" applyAlignment="1">
      <alignment wrapText="1"/>
    </xf>
    <xf numFmtId="0" fontId="0" fillId="0" borderId="8" xfId="0" applyBorder="1" applyAlignment="1">
      <alignment wrapText="1"/>
    </xf>
    <xf numFmtId="0" fontId="0" fillId="0" borderId="0" xfId="0"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3" borderId="4" xfId="0" applyFill="1" applyBorder="1" applyAlignment="1">
      <alignment wrapText="1"/>
    </xf>
    <xf numFmtId="0" fontId="0" fillId="0" borderId="3" xfId="0" applyBorder="1" applyAlignment="1" applyProtection="1">
      <alignment vertical="center" wrapText="1"/>
      <protection locked="0"/>
    </xf>
    <xf numFmtId="0" fontId="0" fillId="0" borderId="3" xfId="0" applyBorder="1" applyAlignment="1" applyProtection="1">
      <alignment horizontal="center" vertical="center" wrapText="1"/>
      <protection locked="0"/>
    </xf>
    <xf numFmtId="0" fontId="0" fillId="0" borderId="0" xfId="0" applyAlignment="1" applyProtection="1">
      <alignment vertical="center" wrapText="1"/>
      <protection locked="0"/>
    </xf>
    <xf numFmtId="0" fontId="7" fillId="0" borderId="3" xfId="0" applyFont="1" applyBorder="1" applyAlignment="1" applyProtection="1">
      <alignment vertical="center" wrapText="1"/>
      <protection locked="0"/>
    </xf>
    <xf numFmtId="0" fontId="7" fillId="0" borderId="5" xfId="0" applyFont="1" applyBorder="1" applyAlignment="1">
      <alignment horizontal="center" wrapText="1"/>
    </xf>
    <xf numFmtId="0" fontId="0" fillId="0" borderId="0" xfId="0" applyAlignment="1" applyProtection="1">
      <alignment horizontal="center" vertical="center"/>
      <protection locked="0"/>
    </xf>
    <xf numFmtId="0" fontId="0" fillId="0" borderId="0" xfId="0" applyProtection="1">
      <protection locked="0"/>
    </xf>
    <xf numFmtId="0" fontId="3" fillId="0" borderId="0" xfId="0" applyFont="1" applyProtection="1">
      <protection locked="0"/>
    </xf>
    <xf numFmtId="0" fontId="4" fillId="0" borderId="1" xfId="0" applyFont="1" applyBorder="1" applyProtection="1">
      <protection locked="0"/>
    </xf>
    <xf numFmtId="0" fontId="5" fillId="0" borderId="1" xfId="0" applyFont="1" applyBorder="1" applyProtection="1">
      <protection locked="0"/>
    </xf>
    <xf numFmtId="0" fontId="5" fillId="0" borderId="0" xfId="0" applyFont="1" applyAlignment="1" applyProtection="1">
      <alignment horizontal="center" vertical="center"/>
      <protection locked="0"/>
    </xf>
    <xf numFmtId="0" fontId="0" fillId="0" borderId="0" xfId="0" applyAlignment="1" applyProtection="1">
      <alignment vertical="center"/>
      <protection locked="0"/>
    </xf>
    <xf numFmtId="0" fontId="5" fillId="0" borderId="0" xfId="0" applyFont="1" applyAlignment="1" applyProtection="1">
      <alignment vertical="center"/>
      <protection locked="0"/>
    </xf>
    <xf numFmtId="0" fontId="0" fillId="0" borderId="3" xfId="0" applyBorder="1" applyAlignment="1" applyProtection="1">
      <alignment vertical="center"/>
      <protection locked="0"/>
    </xf>
    <xf numFmtId="0" fontId="7" fillId="3" borderId="3" xfId="0" applyFont="1" applyFill="1" applyBorder="1" applyProtection="1">
      <protection locked="0"/>
    </xf>
    <xf numFmtId="0" fontId="7" fillId="0" borderId="3" xfId="0" applyFont="1" applyBorder="1" applyProtection="1">
      <protection locked="0"/>
    </xf>
    <xf numFmtId="0" fontId="7" fillId="0" borderId="3" xfId="0" applyFont="1" applyBorder="1" applyAlignment="1" applyProtection="1">
      <alignment horizontal="left" vertical="center"/>
      <protection locked="0"/>
    </xf>
    <xf numFmtId="14" fontId="7" fillId="0" borderId="3" xfId="0" applyNumberFormat="1" applyFont="1" applyBorder="1" applyAlignment="1" applyProtection="1">
      <alignment horizontal="left"/>
      <protection locked="0"/>
    </xf>
    <xf numFmtId="0" fontId="7" fillId="0" borderId="3" xfId="0" applyFont="1" applyBorder="1" applyAlignment="1" applyProtection="1">
      <alignment horizontal="center" vertical="center"/>
      <protection locked="0"/>
    </xf>
    <xf numFmtId="0" fontId="0" fillId="3" borderId="3"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textRotation="255" wrapText="1"/>
      <protection locked="0"/>
    </xf>
    <xf numFmtId="0" fontId="9" fillId="0" borderId="0" xfId="0" applyFont="1" applyProtection="1">
      <protection locked="0"/>
    </xf>
    <xf numFmtId="0" fontId="5" fillId="0" borderId="0" xfId="0" applyFont="1" applyAlignment="1" applyProtection="1">
      <alignment horizontal="left" vertical="center" wrapText="1"/>
      <protection locked="0"/>
    </xf>
    <xf numFmtId="0" fontId="1" fillId="4" borderId="0" xfId="1" applyFill="1"/>
    <xf numFmtId="0" fontId="1" fillId="0" borderId="0" xfId="1"/>
    <xf numFmtId="0" fontId="1" fillId="0" borderId="0" xfId="1" applyAlignment="1">
      <alignment wrapText="1"/>
    </xf>
    <xf numFmtId="0" fontId="1" fillId="0" borderId="0" xfId="2" applyAlignment="1">
      <alignment horizontal="center" vertical="center" wrapText="1"/>
    </xf>
    <xf numFmtId="0" fontId="13" fillId="0" borderId="0" xfId="3" applyFont="1" applyAlignment="1">
      <alignment horizontal="right" vertical="top"/>
    </xf>
    <xf numFmtId="0" fontId="14" fillId="0" borderId="0" xfId="2" applyFont="1" applyAlignment="1">
      <alignment horizontal="right" vertical="top"/>
    </xf>
    <xf numFmtId="0" fontId="17" fillId="6" borderId="18" xfId="3" applyFont="1" applyFill="1" applyBorder="1" applyAlignment="1">
      <alignment horizontal="center" vertical="center" wrapText="1"/>
    </xf>
    <xf numFmtId="0" fontId="18" fillId="6" borderId="18" xfId="3" applyFont="1" applyFill="1" applyBorder="1" applyAlignment="1">
      <alignment horizontal="center" vertical="center" wrapText="1"/>
    </xf>
    <xf numFmtId="0" fontId="14" fillId="0" borderId="18" xfId="2" applyFont="1" applyBorder="1" applyAlignment="1">
      <alignment horizontal="center" vertical="center" wrapText="1"/>
    </xf>
    <xf numFmtId="0" fontId="19" fillId="7" borderId="18" xfId="4" applyFont="1" applyFill="1" applyBorder="1" applyAlignment="1">
      <alignment horizontal="center" vertical="center" wrapText="1"/>
    </xf>
    <xf numFmtId="0" fontId="1" fillId="0" borderId="18" xfId="2" applyBorder="1" applyAlignment="1">
      <alignment horizontal="center" vertical="center" wrapText="1"/>
    </xf>
    <xf numFmtId="0" fontId="19" fillId="8" borderId="18" xfId="4" applyFont="1" applyFill="1" applyBorder="1" applyAlignment="1">
      <alignment horizontal="center" vertical="center" wrapText="1"/>
    </xf>
    <xf numFmtId="0" fontId="19" fillId="9" borderId="18" xfId="4" applyFont="1" applyFill="1" applyBorder="1" applyAlignment="1">
      <alignment horizontal="center" vertical="center" wrapText="1"/>
    </xf>
    <xf numFmtId="0" fontId="19" fillId="10" borderId="18" xfId="4" applyFont="1" applyFill="1" applyBorder="1" applyAlignment="1">
      <alignment horizontal="center" vertical="center" wrapText="1"/>
    </xf>
    <xf numFmtId="0" fontId="19" fillId="11" borderId="18" xfId="4" applyFont="1" applyFill="1" applyBorder="1" applyAlignment="1">
      <alignment horizontal="center" vertical="center" wrapText="1"/>
    </xf>
    <xf numFmtId="0" fontId="19" fillId="12" borderId="18" xfId="4" applyFont="1" applyFill="1" applyBorder="1" applyAlignment="1">
      <alignment horizontal="center" vertical="center" wrapText="1"/>
    </xf>
    <xf numFmtId="0" fontId="19" fillId="13" borderId="18" xfId="4" applyFont="1" applyFill="1" applyBorder="1" applyAlignment="1">
      <alignment horizontal="center" vertical="center" wrapText="1"/>
    </xf>
    <xf numFmtId="0" fontId="19" fillId="14" borderId="18" xfId="4" applyFont="1" applyFill="1" applyBorder="1" applyAlignment="1">
      <alignment horizontal="center" vertical="center" wrapText="1"/>
    </xf>
    <xf numFmtId="0" fontId="19" fillId="15" borderId="18" xfId="4" applyFont="1" applyFill="1" applyBorder="1" applyAlignment="1">
      <alignment horizontal="center" vertical="center" wrapText="1"/>
    </xf>
    <xf numFmtId="0" fontId="19" fillId="16" borderId="18" xfId="4" applyFont="1" applyFill="1" applyBorder="1" applyAlignment="1">
      <alignment horizontal="center" vertical="center" wrapText="1"/>
    </xf>
    <xf numFmtId="0" fontId="20" fillId="0" borderId="0" xfId="5" applyFont="1" applyAlignment="1">
      <alignment vertical="center"/>
    </xf>
    <xf numFmtId="0" fontId="21" fillId="5" borderId="0" xfId="6" applyFill="1" applyBorder="1" applyAlignment="1" applyProtection="1">
      <alignment horizontal="right" vertical="center" wrapText="1"/>
    </xf>
    <xf numFmtId="2" fontId="1" fillId="0" borderId="0" xfId="2" applyNumberFormat="1" applyAlignment="1">
      <alignment horizontal="center" vertical="center" wrapText="1"/>
    </xf>
    <xf numFmtId="10" fontId="1" fillId="0" borderId="0" xfId="2" applyNumberFormat="1" applyAlignment="1">
      <alignment horizontal="center" vertical="center" wrapText="1"/>
    </xf>
    <xf numFmtId="0" fontId="13" fillId="0" borderId="0" xfId="3" applyFont="1"/>
    <xf numFmtId="9" fontId="23" fillId="0" borderId="18" xfId="2" applyNumberFormat="1" applyFont="1" applyBorder="1" applyAlignment="1">
      <alignment horizontal="center" vertical="center" wrapText="1"/>
    </xf>
    <xf numFmtId="3" fontId="14" fillId="0" borderId="18" xfId="2" applyNumberFormat="1" applyFont="1" applyBorder="1" applyAlignment="1">
      <alignment horizontal="center" vertical="center" wrapText="1"/>
    </xf>
    <xf numFmtId="0" fontId="0" fillId="0" borderId="18" xfId="2" applyFont="1" applyBorder="1" applyAlignment="1">
      <alignment horizontal="center" vertical="center" wrapText="1"/>
    </xf>
    <xf numFmtId="0" fontId="10" fillId="0" borderId="18" xfId="2" applyFont="1" applyBorder="1" applyAlignment="1">
      <alignment horizontal="center" vertical="center" wrapText="1"/>
    </xf>
    <xf numFmtId="0" fontId="26" fillId="0" borderId="0" xfId="5" applyFont="1" applyAlignment="1">
      <alignment vertical="center"/>
    </xf>
    <xf numFmtId="0" fontId="27" fillId="0" borderId="0" xfId="2" applyFont="1" applyAlignment="1">
      <alignment horizontal="center" vertical="center" wrapText="1"/>
    </xf>
    <xf numFmtId="2" fontId="27" fillId="0" borderId="0" xfId="2" applyNumberFormat="1" applyFont="1" applyAlignment="1">
      <alignment horizontal="center" vertical="center" wrapText="1"/>
    </xf>
    <xf numFmtId="10" fontId="27" fillId="0" borderId="0" xfId="2" applyNumberFormat="1" applyFont="1" applyAlignment="1">
      <alignment horizontal="center" vertical="center" wrapText="1"/>
    </xf>
    <xf numFmtId="0" fontId="10" fillId="0" borderId="0" xfId="2" applyFont="1" applyAlignment="1">
      <alignment horizontal="center" vertical="center" wrapText="1"/>
    </xf>
    <xf numFmtId="0" fontId="1" fillId="0" borderId="0" xfId="2" applyAlignment="1">
      <alignment vertical="center"/>
    </xf>
    <xf numFmtId="0" fontId="1" fillId="0" borderId="0" xfId="2" applyAlignment="1">
      <alignment horizontal="left" vertical="center"/>
    </xf>
    <xf numFmtId="2" fontId="1" fillId="0" borderId="0" xfId="2" applyNumberFormat="1" applyAlignment="1">
      <alignment horizontal="center" vertical="center"/>
    </xf>
    <xf numFmtId="0" fontId="1" fillId="0" borderId="0" xfId="2" applyAlignment="1">
      <alignment horizontal="center" vertical="center"/>
    </xf>
    <xf numFmtId="0" fontId="15" fillId="5" borderId="0" xfId="4" applyFont="1" applyFill="1" applyAlignment="1">
      <alignment vertical="center"/>
    </xf>
    <xf numFmtId="0" fontId="14" fillId="0" borderId="0" xfId="2" applyFont="1" applyAlignment="1">
      <alignment horizontal="center" vertical="center"/>
    </xf>
    <xf numFmtId="0" fontId="23" fillId="0" borderId="18" xfId="2" applyFont="1" applyBorder="1" applyAlignment="1">
      <alignment horizontal="center" vertical="center" wrapText="1"/>
    </xf>
    <xf numFmtId="0" fontId="31" fillId="0" borderId="22" xfId="5" applyFont="1" applyBorder="1"/>
    <xf numFmtId="0" fontId="31" fillId="0" borderId="0" xfId="5" quotePrefix="1" applyFont="1" applyAlignment="1">
      <alignment horizontal="center" vertical="center" wrapText="1"/>
    </xf>
    <xf numFmtId="0" fontId="1" fillId="0" borderId="18" xfId="2" applyBorder="1" applyAlignment="1">
      <alignment horizontal="center" vertical="center"/>
    </xf>
    <xf numFmtId="0" fontId="31" fillId="0" borderId="22" xfId="5" quotePrefix="1" applyFont="1" applyBorder="1" applyAlignment="1">
      <alignment horizontal="center" vertical="center" wrapText="1"/>
    </xf>
    <xf numFmtId="0" fontId="31" fillId="0" borderId="23" xfId="5" quotePrefix="1" applyFont="1" applyBorder="1" applyAlignment="1">
      <alignment horizontal="center" vertical="center" wrapText="1"/>
    </xf>
    <xf numFmtId="0" fontId="31" fillId="0" borderId="24" xfId="5" quotePrefix="1" applyFont="1" applyBorder="1" applyAlignment="1">
      <alignment horizontal="center" vertical="center" wrapText="1"/>
    </xf>
    <xf numFmtId="0" fontId="31" fillId="0" borderId="25" xfId="5" quotePrefix="1" applyFont="1" applyBorder="1" applyAlignment="1">
      <alignment horizontal="center" vertical="center" wrapText="1"/>
    </xf>
    <xf numFmtId="0" fontId="21" fillId="5" borderId="26" xfId="6" applyFill="1" applyBorder="1" applyAlignment="1" applyProtection="1">
      <alignment horizontal="right" vertical="center" wrapText="1"/>
    </xf>
    <xf numFmtId="0" fontId="7" fillId="0" borderId="12" xfId="0" applyFont="1" applyBorder="1" applyAlignment="1" applyProtection="1">
      <alignment horizontal="center" vertical="center" wrapText="1"/>
      <protection locked="0"/>
    </xf>
    <xf numFmtId="0" fontId="7" fillId="0" borderId="3" xfId="0" applyFont="1" applyBorder="1" applyAlignment="1" applyProtection="1">
      <alignment horizontal="left" vertical="center"/>
      <protection locked="0"/>
    </xf>
    <xf numFmtId="0" fontId="7" fillId="0" borderId="3" xfId="0" applyFont="1" applyBorder="1" applyAlignment="1" applyProtection="1">
      <alignment horizontal="left"/>
      <protection locked="0"/>
    </xf>
    <xf numFmtId="0" fontId="7" fillId="3" borderId="3" xfId="0" applyFont="1" applyFill="1" applyBorder="1" applyAlignment="1" applyProtection="1">
      <alignment horizontal="left" vertical="center"/>
      <protection locked="0"/>
    </xf>
    <xf numFmtId="0" fontId="0" fillId="3" borderId="3" xfId="0" applyFill="1" applyBorder="1" applyAlignment="1" applyProtection="1">
      <alignment horizontal="center" vertical="center" textRotation="255" wrapText="1"/>
      <protection locked="0"/>
    </xf>
    <xf numFmtId="0" fontId="0" fillId="3" borderId="3" xfId="0" applyFill="1" applyBorder="1" applyAlignment="1" applyProtection="1">
      <alignment horizontal="center" vertical="center" wrapText="1"/>
      <protection locked="0"/>
    </xf>
    <xf numFmtId="0" fontId="7" fillId="3" borderId="3" xfId="0" applyFont="1" applyFill="1" applyBorder="1" applyAlignment="1" applyProtection="1">
      <alignment horizontal="center" vertical="center"/>
      <protection locked="0"/>
    </xf>
    <xf numFmtId="0" fontId="7" fillId="0" borderId="3" xfId="0" quotePrefix="1" applyFont="1" applyBorder="1" applyAlignment="1" applyProtection="1">
      <alignment horizontal="left" vertical="center"/>
      <protection locked="0"/>
    </xf>
    <xf numFmtId="0" fontId="0" fillId="3" borderId="3" xfId="0" applyFill="1" applyBorder="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5" fillId="0" borderId="13" xfId="0" applyFont="1" applyBorder="1" applyAlignment="1" applyProtection="1">
      <alignment horizontal="left" vertical="center" wrapText="1"/>
      <protection locked="0"/>
    </xf>
    <xf numFmtId="0" fontId="7" fillId="3" borderId="11" xfId="0" applyFont="1" applyFill="1" applyBorder="1" applyAlignment="1" applyProtection="1">
      <alignment horizontal="center" vertical="center" wrapText="1"/>
      <protection locked="0"/>
    </xf>
    <xf numFmtId="0" fontId="0" fillId="3" borderId="12" xfId="0" applyFill="1" applyBorder="1" applyAlignment="1" applyProtection="1">
      <alignment horizontal="center" vertical="center" wrapText="1"/>
      <protection locked="0"/>
    </xf>
    <xf numFmtId="0" fontId="0" fillId="3" borderId="11" xfId="0" applyFill="1" applyBorder="1" applyAlignment="1" applyProtection="1">
      <alignment horizontal="center" vertical="center" textRotation="255" wrapText="1"/>
      <protection locked="0"/>
    </xf>
    <xf numFmtId="0" fontId="0" fillId="3" borderId="12" xfId="0" applyFill="1" applyBorder="1" applyAlignment="1" applyProtection="1">
      <alignment horizontal="center" vertical="center" textRotation="255" wrapText="1"/>
      <protection locked="0"/>
    </xf>
    <xf numFmtId="0" fontId="7" fillId="3" borderId="3" xfId="0" applyFont="1" applyFill="1" applyBorder="1" applyAlignment="1" applyProtection="1">
      <alignment horizontal="left"/>
      <protection locked="0"/>
    </xf>
    <xf numFmtId="0" fontId="5" fillId="0" borderId="13"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horizontal="left" vertical="center" wrapText="1"/>
      <protection locked="0"/>
    </xf>
    <xf numFmtId="0" fontId="7" fillId="0" borderId="3" xfId="0" applyFont="1" applyBorder="1" applyAlignment="1" applyProtection="1">
      <alignment horizontal="left" wrapText="1"/>
      <protection locked="0"/>
    </xf>
    <xf numFmtId="0" fontId="0" fillId="0" borderId="14"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6" fillId="3" borderId="3" xfId="0" applyFont="1" applyFill="1" applyBorder="1" applyAlignment="1" applyProtection="1">
      <alignment horizontal="center"/>
      <protection locked="0"/>
    </xf>
    <xf numFmtId="0" fontId="0" fillId="0" borderId="3" xfId="0" applyBorder="1" applyAlignment="1" applyProtection="1">
      <alignment horizontal="left" vertical="center"/>
      <protection locked="0"/>
    </xf>
    <xf numFmtId="0" fontId="32" fillId="0" borderId="19" xfId="5" applyFont="1" applyBorder="1" applyAlignment="1">
      <alignment horizontal="center" vertical="center" textRotation="90" wrapText="1"/>
    </xf>
    <xf numFmtId="0" fontId="32" fillId="0" borderId="20" xfId="5" applyFont="1" applyBorder="1" applyAlignment="1">
      <alignment horizontal="center" vertical="center" textRotation="90" wrapText="1"/>
    </xf>
    <xf numFmtId="0" fontId="32" fillId="0" borderId="21" xfId="5" applyFont="1" applyBorder="1" applyAlignment="1">
      <alignment horizontal="center" vertical="center" textRotation="90" wrapText="1"/>
    </xf>
    <xf numFmtId="0" fontId="32" fillId="0" borderId="20" xfId="5" quotePrefix="1" applyFont="1" applyBorder="1" applyAlignment="1">
      <alignment horizontal="center" vertical="center" textRotation="90" wrapText="1"/>
    </xf>
    <xf numFmtId="0" fontId="32" fillId="0" borderId="21" xfId="5" quotePrefix="1" applyFont="1" applyBorder="1" applyAlignment="1">
      <alignment horizontal="center" vertical="center" textRotation="90" wrapText="1"/>
    </xf>
    <xf numFmtId="0" fontId="15" fillId="5" borderId="15" xfId="4" applyFont="1" applyFill="1" applyBorder="1" applyAlignment="1">
      <alignment horizontal="center" vertical="center" wrapText="1"/>
    </xf>
    <xf numFmtId="0" fontId="15" fillId="5" borderId="16" xfId="4" applyFont="1" applyFill="1" applyBorder="1" applyAlignment="1">
      <alignment horizontal="center" vertical="center"/>
    </xf>
    <xf numFmtId="0" fontId="15" fillId="5" borderId="17" xfId="4" applyFont="1" applyFill="1" applyBorder="1" applyAlignment="1">
      <alignment horizontal="center" vertical="center"/>
    </xf>
    <xf numFmtId="0" fontId="17" fillId="6" borderId="15" xfId="3" applyFont="1" applyFill="1" applyBorder="1" applyAlignment="1">
      <alignment horizontal="center" vertical="center" wrapText="1"/>
    </xf>
    <xf numFmtId="0" fontId="17" fillId="6" borderId="17" xfId="3" applyFont="1" applyFill="1" applyBorder="1" applyAlignment="1">
      <alignment horizontal="center" vertical="center" wrapText="1"/>
    </xf>
    <xf numFmtId="0" fontId="18" fillId="6" borderId="19" xfId="3" applyFont="1" applyFill="1" applyBorder="1" applyAlignment="1">
      <alignment horizontal="center" vertical="center" wrapText="1"/>
    </xf>
    <xf numFmtId="0" fontId="18" fillId="6" borderId="21" xfId="3" applyFont="1" applyFill="1" applyBorder="1" applyAlignment="1">
      <alignment horizontal="center" vertical="center" wrapText="1"/>
    </xf>
    <xf numFmtId="0" fontId="18" fillId="6" borderId="18" xfId="3" applyFont="1" applyFill="1" applyBorder="1" applyAlignment="1">
      <alignment horizontal="center" vertical="center" wrapText="1"/>
    </xf>
    <xf numFmtId="0" fontId="14" fillId="0" borderId="18" xfId="2" applyFont="1" applyBorder="1" applyAlignment="1">
      <alignment horizontal="center" vertical="center" wrapText="1"/>
    </xf>
    <xf numFmtId="0" fontId="28" fillId="0" borderId="0" xfId="2" applyFont="1" applyAlignment="1">
      <alignment horizontal="left" vertical="center" wrapText="1"/>
    </xf>
    <xf numFmtId="0" fontId="10" fillId="0" borderId="0" xfId="2" applyFont="1" applyAlignment="1">
      <alignment horizontal="center" vertical="center" wrapText="1"/>
    </xf>
    <xf numFmtId="0" fontId="15" fillId="5" borderId="16" xfId="4" applyFont="1" applyFill="1" applyBorder="1" applyAlignment="1">
      <alignment horizontal="center" vertical="center" wrapText="1"/>
    </xf>
    <xf numFmtId="0" fontId="15" fillId="5" borderId="17" xfId="4" applyFont="1" applyFill="1" applyBorder="1" applyAlignment="1">
      <alignment horizontal="center" vertical="center" wrapText="1"/>
    </xf>
    <xf numFmtId="0" fontId="17" fillId="6" borderId="16" xfId="3" applyFont="1" applyFill="1" applyBorder="1" applyAlignment="1">
      <alignment horizontal="center" vertical="center" wrapText="1"/>
    </xf>
    <xf numFmtId="0" fontId="18" fillId="6" borderId="20" xfId="3" applyFont="1" applyFill="1" applyBorder="1" applyAlignment="1">
      <alignment horizontal="center" vertical="center" wrapText="1"/>
    </xf>
    <xf numFmtId="0" fontId="18" fillId="6" borderId="15" xfId="3" applyFont="1" applyFill="1" applyBorder="1" applyAlignment="1">
      <alignment horizontal="center" vertical="center" wrapText="1"/>
    </xf>
    <xf numFmtId="0" fontId="18" fillId="6" borderId="17" xfId="3" applyFont="1" applyFill="1" applyBorder="1" applyAlignment="1">
      <alignment horizontal="center" vertical="center" wrapText="1"/>
    </xf>
    <xf numFmtId="0" fontId="17" fillId="6" borderId="18" xfId="3" applyFont="1" applyFill="1" applyBorder="1" applyAlignment="1">
      <alignment horizontal="center" vertical="center" wrapText="1"/>
    </xf>
    <xf numFmtId="0" fontId="0" fillId="0" borderId="8" xfId="0" quotePrefix="1" applyBorder="1" applyAlignment="1">
      <alignment horizontal="left" wrapText="1"/>
    </xf>
    <xf numFmtId="0" fontId="0" fillId="0" borderId="9" xfId="0" quotePrefix="1" applyBorder="1" applyAlignment="1">
      <alignment horizontal="left" wrapText="1"/>
    </xf>
    <xf numFmtId="0" fontId="0" fillId="0" borderId="6" xfId="0" quotePrefix="1" applyBorder="1" applyAlignment="1">
      <alignment horizontal="left" wrapText="1"/>
    </xf>
    <xf numFmtId="0" fontId="0" fillId="0" borderId="7" xfId="0" quotePrefix="1" applyBorder="1" applyAlignment="1">
      <alignment horizontal="left" wrapText="1"/>
    </xf>
  </cellXfs>
  <cellStyles count="7">
    <cellStyle name="Hyperlink 2" xfId="6" xr:uid="{EB4FB036-C011-46F6-8E89-03487A1F22D0}"/>
    <cellStyle name="Normal" xfId="0" builtinId="0"/>
    <cellStyle name="Normal 2" xfId="1" xr:uid="{5F93F98F-B3B1-416B-8D5B-1CC7DD77F1D8}"/>
    <cellStyle name="Normal 21" xfId="3" xr:uid="{115F5A8B-0F23-456F-B9B5-5EA3CB05C609}"/>
    <cellStyle name="Normal 23" xfId="2" xr:uid="{728DBA71-DD48-48C9-8ADA-912DF5AED142}"/>
    <cellStyle name="Normal 3" xfId="5" xr:uid="{33632A87-91A6-4606-84E2-D12604944703}"/>
    <cellStyle name="Normal_DFMEA Explainit" xfId="4" xr:uid="{67FB4E4C-C94C-4847-9E8A-255FBB86FDD7}"/>
  </cellStyles>
  <dxfs count="1">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16</xdr:col>
      <xdr:colOff>133350</xdr:colOff>
      <xdr:row>0</xdr:row>
      <xdr:rowOff>34637</xdr:rowOff>
    </xdr:from>
    <xdr:to>
      <xdr:col>17</xdr:col>
      <xdr:colOff>323191</xdr:colOff>
      <xdr:row>2</xdr:row>
      <xdr:rowOff>136466</xdr:rowOff>
    </xdr:to>
    <xdr:pic>
      <xdr:nvPicPr>
        <xdr:cNvPr id="1025" name="Picture 1" descr="asq_logo">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5000" t="14125" r="27499" b="11864"/>
        <a:stretch>
          <a:fillRect/>
        </a:stretch>
      </xdr:blipFill>
      <xdr:spPr bwMode="auto">
        <a:xfrm>
          <a:off x="12658725" y="34637"/>
          <a:ext cx="395581" cy="680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0</xdr:row>
      <xdr:rowOff>28575</xdr:rowOff>
    </xdr:from>
    <xdr:to>
      <xdr:col>12</xdr:col>
      <xdr:colOff>973276</xdr:colOff>
      <xdr:row>3</xdr:row>
      <xdr:rowOff>0</xdr:rowOff>
    </xdr:to>
    <xdr:pic>
      <xdr:nvPicPr>
        <xdr:cNvPr id="3" name="Picture 2">
          <a:extLst>
            <a:ext uri="{FF2B5EF4-FFF2-40B4-BE49-F238E27FC236}">
              <a16:creationId xmlns:a16="http://schemas.microsoft.com/office/drawing/2014/main" id="{62807388-B728-45B8-8A14-CA0D35F695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5425" y="28575"/>
          <a:ext cx="2081986" cy="704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20FCACFC-1BA5-49C6-84BB-9F50BC468DE1}"/>
            </a:ext>
          </a:extLst>
        </xdr:cNvPr>
        <xdr:cNvPicPr>
          <a:picLocks noChangeAspect="1"/>
        </xdr:cNvPicPr>
      </xdr:nvPicPr>
      <xdr:blipFill>
        <a:blip xmlns:r="http://schemas.openxmlformats.org/officeDocument/2006/relationships" r:embed="rId1"/>
        <a:stretch>
          <a:fillRect/>
        </a:stretch>
      </xdr:blipFill>
      <xdr:spPr>
        <a:xfrm>
          <a:off x="297180" y="0"/>
          <a:ext cx="573742" cy="2745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1</xdr:col>
      <xdr:colOff>592792</xdr:colOff>
      <xdr:row>0</xdr:row>
      <xdr:rowOff>303119</xdr:rowOff>
    </xdr:to>
    <xdr:pic>
      <xdr:nvPicPr>
        <xdr:cNvPr id="2" name="Picture 1">
          <a:extLst>
            <a:ext uri="{FF2B5EF4-FFF2-40B4-BE49-F238E27FC236}">
              <a16:creationId xmlns:a16="http://schemas.microsoft.com/office/drawing/2014/main" id="{66026967-DE2D-40B8-AA5C-3AB3BBFA55A3}"/>
            </a:ext>
          </a:extLst>
        </xdr:cNvPr>
        <xdr:cNvPicPr>
          <a:picLocks noChangeAspect="1"/>
        </xdr:cNvPicPr>
      </xdr:nvPicPr>
      <xdr:blipFill>
        <a:blip xmlns:r="http://schemas.openxmlformats.org/officeDocument/2006/relationships" r:embed="rId1"/>
        <a:stretch>
          <a:fillRect/>
        </a:stretch>
      </xdr:blipFill>
      <xdr:spPr>
        <a:xfrm>
          <a:off x="270510" y="28575"/>
          <a:ext cx="573742" cy="2745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573742</xdr:colOff>
      <xdr:row>0</xdr:row>
      <xdr:rowOff>274544</xdr:rowOff>
    </xdr:to>
    <xdr:pic>
      <xdr:nvPicPr>
        <xdr:cNvPr id="2" name="Picture 1">
          <a:extLst>
            <a:ext uri="{FF2B5EF4-FFF2-40B4-BE49-F238E27FC236}">
              <a16:creationId xmlns:a16="http://schemas.microsoft.com/office/drawing/2014/main" id="{ACDE5DC9-0696-4685-984B-E1AE50E89664}"/>
            </a:ext>
          </a:extLst>
        </xdr:cNvPr>
        <xdr:cNvPicPr>
          <a:picLocks noChangeAspect="1"/>
        </xdr:cNvPicPr>
      </xdr:nvPicPr>
      <xdr:blipFill>
        <a:blip xmlns:r="http://schemas.openxmlformats.org/officeDocument/2006/relationships" r:embed="rId1"/>
        <a:stretch>
          <a:fillRect/>
        </a:stretch>
      </xdr:blipFill>
      <xdr:spPr>
        <a:xfrm>
          <a:off x="228600" y="0"/>
          <a:ext cx="573742" cy="274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AfterMarket%20CBG\SDARS%20DLP\SDARS%20move%20NPtoAlte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1"/>
      <sheetName val="Changes"/>
      <sheetName val="MBO_Changes"/>
      <sheetName val="Summary"/>
      <sheetName val="Input"/>
      <sheetName val="Output"/>
      <sheetName val="8-bin"/>
      <sheetName val="P&amp;L"/>
      <sheetName val="Forex Anal"/>
      <sheetName val="Exch"/>
      <sheetName val="Plant Data"/>
      <sheetName val="OEM-Engr-Product Data"/>
      <sheetName val="Index"/>
      <sheetName val="Instructions"/>
      <sheetName val="Deviation"/>
      <sheetName val="Change Recor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4E5BB-822F-4615-89D8-E2D73F4F0580}">
  <dimension ref="A1:B28"/>
  <sheetViews>
    <sheetView workbookViewId="0">
      <selection activeCell="B29" sqref="B29"/>
    </sheetView>
  </sheetViews>
  <sheetFormatPr defaultRowHeight="14.4" x14ac:dyDescent="0.3"/>
  <cols>
    <col min="1" max="1" width="8.88671875" style="37"/>
    <col min="2" max="2" width="185.21875" style="37" bestFit="1" customWidth="1"/>
    <col min="3" max="16384" width="8.88671875" style="37"/>
  </cols>
  <sheetData>
    <row r="1" spans="2:2" x14ac:dyDescent="0.3">
      <c r="B1" s="36" t="s">
        <v>71</v>
      </c>
    </row>
    <row r="2" spans="2:2" x14ac:dyDescent="0.3">
      <c r="B2" s="37" t="s">
        <v>72</v>
      </c>
    </row>
    <row r="3" spans="2:2" x14ac:dyDescent="0.3">
      <c r="B3" s="37" t="s">
        <v>73</v>
      </c>
    </row>
    <row r="4" spans="2:2" x14ac:dyDescent="0.3">
      <c r="B4" s="37" t="s">
        <v>74</v>
      </c>
    </row>
    <row r="5" spans="2:2" x14ac:dyDescent="0.3">
      <c r="B5" s="37" t="s">
        <v>75</v>
      </c>
    </row>
    <row r="6" spans="2:2" x14ac:dyDescent="0.3">
      <c r="B6" s="37" t="s">
        <v>76</v>
      </c>
    </row>
    <row r="7" spans="2:2" x14ac:dyDescent="0.3">
      <c r="B7" s="37" t="s">
        <v>77</v>
      </c>
    </row>
    <row r="8" spans="2:2" x14ac:dyDescent="0.3">
      <c r="B8" s="37" t="s">
        <v>78</v>
      </c>
    </row>
    <row r="9" spans="2:2" x14ac:dyDescent="0.3">
      <c r="B9" s="37" t="s">
        <v>79</v>
      </c>
    </row>
    <row r="10" spans="2:2" x14ac:dyDescent="0.3">
      <c r="B10" s="37" t="s">
        <v>80</v>
      </c>
    </row>
    <row r="11" spans="2:2" x14ac:dyDescent="0.3">
      <c r="B11" s="37" t="s">
        <v>81</v>
      </c>
    </row>
    <row r="12" spans="2:2" x14ac:dyDescent="0.3">
      <c r="B12" s="37" t="s">
        <v>82</v>
      </c>
    </row>
    <row r="13" spans="2:2" x14ac:dyDescent="0.3">
      <c r="B13" s="37" t="s">
        <v>83</v>
      </c>
    </row>
    <row r="14" spans="2:2" x14ac:dyDescent="0.3">
      <c r="B14" s="37" t="s">
        <v>84</v>
      </c>
    </row>
    <row r="15" spans="2:2" x14ac:dyDescent="0.3">
      <c r="B15" s="37" t="s">
        <v>85</v>
      </c>
    </row>
    <row r="16" spans="2:2" x14ac:dyDescent="0.3">
      <c r="B16" s="37" t="s">
        <v>86</v>
      </c>
    </row>
    <row r="17" spans="1:2" x14ac:dyDescent="0.3">
      <c r="B17" s="37" t="s">
        <v>87</v>
      </c>
    </row>
    <row r="18" spans="1:2" x14ac:dyDescent="0.3">
      <c r="B18" s="37" t="s">
        <v>88</v>
      </c>
    </row>
    <row r="21" spans="1:2" x14ac:dyDescent="0.3">
      <c r="B21" s="36" t="s">
        <v>89</v>
      </c>
    </row>
    <row r="22" spans="1:2" x14ac:dyDescent="0.3">
      <c r="A22" s="37">
        <v>1</v>
      </c>
      <c r="B22" s="38" t="s">
        <v>90</v>
      </c>
    </row>
    <row r="23" spans="1:2" x14ac:dyDescent="0.3">
      <c r="A23" s="37">
        <v>2</v>
      </c>
      <c r="B23" s="38" t="s">
        <v>91</v>
      </c>
    </row>
    <row r="24" spans="1:2" x14ac:dyDescent="0.3">
      <c r="A24" s="37">
        <v>3</v>
      </c>
      <c r="B24" s="38" t="s">
        <v>92</v>
      </c>
    </row>
    <row r="25" spans="1:2" ht="28.8" x14ac:dyDescent="0.3">
      <c r="A25" s="37">
        <v>4</v>
      </c>
      <c r="B25" s="38" t="s">
        <v>93</v>
      </c>
    </row>
    <row r="26" spans="1:2" ht="28.8" x14ac:dyDescent="0.3">
      <c r="B26" s="38" t="s">
        <v>94</v>
      </c>
    </row>
    <row r="27" spans="1:2" ht="43.2" x14ac:dyDescent="0.3">
      <c r="A27" s="37">
        <v>6</v>
      </c>
      <c r="B27" s="38" t="s">
        <v>95</v>
      </c>
    </row>
    <row r="28" spans="1:2" ht="28.8" x14ac:dyDescent="0.3">
      <c r="A28" s="37">
        <v>7</v>
      </c>
      <c r="B28" s="38"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
  <sheetViews>
    <sheetView tabSelected="1" topLeftCell="A7" zoomScaleNormal="100" workbookViewId="0">
      <selection activeCell="A18" sqref="A15:XFD18"/>
    </sheetView>
  </sheetViews>
  <sheetFormatPr defaultRowHeight="13.2" x14ac:dyDescent="0.25"/>
  <cols>
    <col min="1" max="1" width="16.6640625" customWidth="1"/>
    <col min="2" max="3" width="25.6640625" customWidth="1"/>
    <col min="4" max="4" width="3.109375" style="1" bestFit="1" customWidth="1"/>
    <col min="5" max="5" width="4.88671875" customWidth="1"/>
    <col min="6" max="7" width="28.5546875" customWidth="1"/>
    <col min="8" max="8" width="5.44140625" style="1" customWidth="1"/>
    <col min="9" max="9" width="15.6640625" customWidth="1"/>
    <col min="10" max="10" width="5.109375" customWidth="1"/>
    <col min="11" max="11" width="5.6640625" style="1" customWidth="1"/>
    <col min="12" max="12" width="16.5546875" customWidth="1"/>
    <col min="13" max="13" width="15.5546875" customWidth="1"/>
    <col min="14" max="14" width="12.6640625" style="1" customWidth="1"/>
    <col min="15" max="17" width="3.109375" style="1" bestFit="1" customWidth="1"/>
    <col min="18" max="18" width="5" style="1" customWidth="1"/>
  </cols>
  <sheetData>
    <row r="1" spans="1:18" ht="30.6" x14ac:dyDescent="0.5">
      <c r="A1" s="94" t="s">
        <v>0</v>
      </c>
      <c r="B1" s="94"/>
      <c r="C1" s="94"/>
      <c r="D1" s="18"/>
      <c r="E1" s="18"/>
      <c r="F1" s="34" t="s">
        <v>70</v>
      </c>
      <c r="G1" s="34"/>
      <c r="H1" s="18"/>
      <c r="I1" s="19"/>
      <c r="J1" s="19"/>
      <c r="K1" s="18"/>
      <c r="L1" s="19"/>
      <c r="M1" s="19"/>
      <c r="N1" s="18"/>
      <c r="O1" s="18"/>
      <c r="P1" s="18"/>
      <c r="Q1" s="18"/>
      <c r="R1" s="18"/>
    </row>
    <row r="2" spans="1:18" ht="16.2" x14ac:dyDescent="0.3">
      <c r="A2" s="20" t="s">
        <v>66</v>
      </c>
      <c r="B2" s="19"/>
      <c r="C2" s="19"/>
      <c r="D2" s="18"/>
      <c r="E2" s="19"/>
      <c r="F2" s="19"/>
      <c r="G2" s="19"/>
      <c r="H2" s="18"/>
      <c r="I2" s="19"/>
      <c r="J2" s="19"/>
      <c r="K2" s="18"/>
      <c r="L2" s="19"/>
      <c r="M2" s="19"/>
      <c r="N2" s="18"/>
      <c r="O2" s="18"/>
      <c r="P2" s="18"/>
      <c r="Q2" s="18"/>
      <c r="R2" s="18"/>
    </row>
    <row r="3" spans="1:18" ht="13.8" thickBot="1" x14ac:dyDescent="0.3">
      <c r="A3" s="21" t="s">
        <v>1</v>
      </c>
      <c r="B3" s="22"/>
      <c r="C3" s="22"/>
      <c r="D3" s="18"/>
      <c r="E3" s="21" t="s">
        <v>2</v>
      </c>
      <c r="F3" s="22"/>
      <c r="G3" s="22"/>
      <c r="H3" s="22"/>
      <c r="I3" s="22"/>
      <c r="J3" s="22"/>
      <c r="K3" s="18"/>
      <c r="L3" s="19"/>
      <c r="M3" s="19"/>
      <c r="N3" s="18"/>
      <c r="O3" s="18"/>
      <c r="P3" s="18"/>
      <c r="Q3" s="18"/>
      <c r="R3" s="18"/>
    </row>
    <row r="4" spans="1:18" ht="21" customHeight="1" x14ac:dyDescent="0.25">
      <c r="A4" s="101" t="s">
        <v>69</v>
      </c>
      <c r="B4" s="101"/>
      <c r="C4" s="101"/>
      <c r="D4" s="18"/>
      <c r="E4" s="23" t="s">
        <v>3</v>
      </c>
      <c r="F4" s="95" t="s">
        <v>67</v>
      </c>
      <c r="G4" s="95"/>
      <c r="H4" s="95"/>
      <c r="I4" s="35"/>
      <c r="J4" s="24"/>
      <c r="K4" s="18"/>
      <c r="L4" s="105" t="s">
        <v>26</v>
      </c>
      <c r="M4" s="106"/>
      <c r="N4" s="106"/>
      <c r="O4" s="106"/>
      <c r="P4" s="107"/>
      <c r="Q4" s="109" t="s">
        <v>27</v>
      </c>
      <c r="R4" s="109"/>
    </row>
    <row r="5" spans="1:18" x14ac:dyDescent="0.25">
      <c r="A5" s="102"/>
      <c r="B5" s="102"/>
      <c r="C5" s="102"/>
      <c r="D5" s="25"/>
      <c r="E5" s="23" t="s">
        <v>3</v>
      </c>
      <c r="F5" s="103" t="s">
        <v>4</v>
      </c>
      <c r="G5" s="103"/>
      <c r="H5" s="103"/>
      <c r="I5" s="35"/>
      <c r="J5" s="24"/>
      <c r="K5" s="25"/>
      <c r="L5" s="105" t="s">
        <v>28</v>
      </c>
      <c r="M5" s="106"/>
      <c r="N5" s="106"/>
      <c r="O5" s="106"/>
      <c r="P5" s="106"/>
      <c r="Q5" s="107"/>
      <c r="R5" s="26">
        <v>200</v>
      </c>
    </row>
    <row r="6" spans="1:18" ht="31.5" customHeight="1" x14ac:dyDescent="0.25">
      <c r="A6" s="102"/>
      <c r="B6" s="102"/>
      <c r="C6" s="102"/>
      <c r="D6" s="25"/>
      <c r="E6" s="23" t="s">
        <v>3</v>
      </c>
      <c r="F6" s="103" t="s">
        <v>5</v>
      </c>
      <c r="G6" s="103"/>
      <c r="H6" s="103"/>
      <c r="I6" s="35"/>
      <c r="J6" s="24"/>
      <c r="K6" s="18"/>
      <c r="L6" s="105" t="s">
        <v>29</v>
      </c>
      <c r="M6" s="106"/>
      <c r="N6" s="106"/>
      <c r="O6" s="106"/>
      <c r="P6" s="106"/>
      <c r="Q6" s="107"/>
      <c r="R6" s="26">
        <v>8</v>
      </c>
    </row>
    <row r="7" spans="1:18" ht="15.6" x14ac:dyDescent="0.3">
      <c r="A7" s="108" t="s">
        <v>241</v>
      </c>
      <c r="B7" s="108"/>
      <c r="C7" s="108"/>
      <c r="D7" s="108"/>
      <c r="E7" s="108"/>
      <c r="F7" s="108"/>
      <c r="G7" s="108"/>
      <c r="H7" s="108"/>
      <c r="I7" s="108"/>
      <c r="J7" s="108"/>
      <c r="K7" s="108"/>
      <c r="L7" s="108"/>
      <c r="M7" s="108"/>
      <c r="N7" s="108"/>
      <c r="O7" s="108"/>
      <c r="P7" s="108"/>
      <c r="Q7" s="108"/>
      <c r="R7" s="108"/>
    </row>
    <row r="8" spans="1:18" x14ac:dyDescent="0.25">
      <c r="A8" s="27" t="s">
        <v>6</v>
      </c>
      <c r="B8" s="87" t="s">
        <v>238</v>
      </c>
      <c r="C8" s="87"/>
      <c r="D8" s="87"/>
      <c r="E8" s="28"/>
      <c r="F8" s="88" t="s">
        <v>7</v>
      </c>
      <c r="G8" s="88"/>
      <c r="H8" s="88"/>
      <c r="I8" s="87" t="s">
        <v>243</v>
      </c>
      <c r="J8" s="87"/>
      <c r="K8" s="87"/>
      <c r="L8" s="28"/>
      <c r="M8" s="27" t="s">
        <v>8</v>
      </c>
      <c r="N8" s="87" t="s">
        <v>65</v>
      </c>
      <c r="O8" s="87"/>
      <c r="P8" s="87"/>
      <c r="Q8" s="87"/>
      <c r="R8" s="87"/>
    </row>
    <row r="9" spans="1:18" x14ac:dyDescent="0.25">
      <c r="A9" s="27" t="s">
        <v>1</v>
      </c>
      <c r="B9" s="87" t="s">
        <v>239</v>
      </c>
      <c r="C9" s="87"/>
      <c r="D9" s="87"/>
      <c r="E9" s="29"/>
      <c r="F9" s="100" t="s">
        <v>9</v>
      </c>
      <c r="G9" s="100"/>
      <c r="H9" s="100"/>
      <c r="I9" s="87" t="s">
        <v>242</v>
      </c>
      <c r="J9" s="87"/>
      <c r="K9" s="87"/>
      <c r="L9" s="28"/>
      <c r="M9" s="27" t="s">
        <v>10</v>
      </c>
      <c r="N9" s="86"/>
      <c r="O9" s="86"/>
      <c r="P9" s="86"/>
      <c r="Q9" s="86"/>
      <c r="R9" s="86"/>
    </row>
    <row r="10" spans="1:18" x14ac:dyDescent="0.25">
      <c r="A10" s="27" t="s">
        <v>11</v>
      </c>
      <c r="B10" s="104" t="s">
        <v>240</v>
      </c>
      <c r="C10" s="104"/>
      <c r="D10" s="104"/>
      <c r="E10" s="104"/>
      <c r="F10" s="104"/>
      <c r="G10" s="104"/>
      <c r="H10" s="104"/>
      <c r="I10" s="104"/>
      <c r="J10" s="104"/>
      <c r="K10" s="104"/>
      <c r="L10" s="28"/>
      <c r="M10" s="27" t="s">
        <v>12</v>
      </c>
      <c r="N10" s="30">
        <v>46270</v>
      </c>
      <c r="O10" s="91" t="s">
        <v>13</v>
      </c>
      <c r="P10" s="91"/>
      <c r="Q10" s="92"/>
      <c r="R10" s="86"/>
    </row>
    <row r="11" spans="1:18" x14ac:dyDescent="0.25">
      <c r="A11" s="28"/>
      <c r="B11" s="28"/>
      <c r="C11" s="28"/>
      <c r="D11" s="31"/>
      <c r="E11" s="28"/>
      <c r="F11" s="28"/>
      <c r="G11" s="28"/>
      <c r="H11" s="31"/>
      <c r="I11" s="28"/>
      <c r="J11" s="28"/>
      <c r="K11" s="31"/>
      <c r="L11" s="28"/>
      <c r="M11" s="27" t="s">
        <v>58</v>
      </c>
      <c r="N11" s="30">
        <v>46270</v>
      </c>
      <c r="O11" s="91" t="s">
        <v>13</v>
      </c>
      <c r="P11" s="91"/>
      <c r="Q11" s="92"/>
      <c r="R11" s="86"/>
    </row>
    <row r="12" spans="1:18" x14ac:dyDescent="0.25">
      <c r="A12" s="96" t="s">
        <v>68</v>
      </c>
      <c r="B12" s="90" t="s">
        <v>14</v>
      </c>
      <c r="C12" s="90" t="s">
        <v>15</v>
      </c>
      <c r="D12" s="89" t="s">
        <v>16</v>
      </c>
      <c r="E12" s="98" t="s">
        <v>97</v>
      </c>
      <c r="F12" s="90" t="s">
        <v>17</v>
      </c>
      <c r="G12" s="90" t="s">
        <v>231</v>
      </c>
      <c r="H12" s="89" t="s">
        <v>24</v>
      </c>
      <c r="I12" s="90" t="s">
        <v>232</v>
      </c>
      <c r="J12" s="89" t="s">
        <v>25</v>
      </c>
      <c r="K12" s="89" t="s">
        <v>19</v>
      </c>
      <c r="L12" s="90" t="s">
        <v>20</v>
      </c>
      <c r="M12" s="90" t="s">
        <v>21</v>
      </c>
      <c r="N12" s="93" t="s">
        <v>22</v>
      </c>
      <c r="O12" s="93"/>
      <c r="P12" s="93"/>
      <c r="Q12" s="93"/>
      <c r="R12" s="93"/>
    </row>
    <row r="13" spans="1:18" ht="54" customHeight="1" x14ac:dyDescent="0.25">
      <c r="A13" s="97"/>
      <c r="B13" s="90"/>
      <c r="C13" s="90"/>
      <c r="D13" s="89"/>
      <c r="E13" s="99"/>
      <c r="F13" s="90"/>
      <c r="G13" s="90"/>
      <c r="H13" s="89"/>
      <c r="I13" s="90"/>
      <c r="J13" s="89"/>
      <c r="K13" s="89"/>
      <c r="L13" s="90"/>
      <c r="M13" s="90"/>
      <c r="N13" s="32" t="s">
        <v>23</v>
      </c>
      <c r="O13" s="33" t="s">
        <v>16</v>
      </c>
      <c r="P13" s="33" t="s">
        <v>24</v>
      </c>
      <c r="Q13" s="33" t="s">
        <v>25</v>
      </c>
      <c r="R13" s="33" t="s">
        <v>19</v>
      </c>
    </row>
    <row r="14" spans="1:18" ht="118.8" x14ac:dyDescent="0.25">
      <c r="A14" s="85"/>
      <c r="B14" s="15" t="s">
        <v>233</v>
      </c>
      <c r="C14" s="13" t="s">
        <v>235</v>
      </c>
      <c r="D14" s="14">
        <v>9</v>
      </c>
      <c r="E14" s="13"/>
      <c r="F14" s="13" t="s">
        <v>244</v>
      </c>
      <c r="G14" s="13" t="s">
        <v>230</v>
      </c>
      <c r="H14" s="14">
        <v>2</v>
      </c>
      <c r="I14" s="13" t="s">
        <v>234</v>
      </c>
      <c r="J14" s="14">
        <v>5</v>
      </c>
      <c r="K14" s="2">
        <f t="shared" ref="K14:K15" si="0">D14*H14*J14</f>
        <v>90</v>
      </c>
      <c r="L14" s="13"/>
      <c r="M14" s="13"/>
      <c r="N14" s="14"/>
      <c r="O14" s="14"/>
      <c r="P14" s="14"/>
      <c r="Q14" s="14"/>
      <c r="R14" s="2">
        <f t="shared" ref="R14:R15" si="1">IF(O14*P14*Q14&gt;0,O14*P14*Q14,K14)</f>
        <v>90</v>
      </c>
    </row>
    <row r="15" spans="1:18" ht="118.8" x14ac:dyDescent="0.25">
      <c r="A15" s="13"/>
      <c r="B15" s="13"/>
      <c r="C15" s="13" t="s">
        <v>235</v>
      </c>
      <c r="D15" s="14">
        <v>9</v>
      </c>
      <c r="E15" s="13"/>
      <c r="F15" s="16" t="s">
        <v>245</v>
      </c>
      <c r="G15" s="13" t="s">
        <v>237</v>
      </c>
      <c r="H15" s="14">
        <v>3</v>
      </c>
      <c r="I15" s="13" t="s">
        <v>236</v>
      </c>
      <c r="J15" s="14">
        <v>8</v>
      </c>
      <c r="K15" s="2">
        <f t="shared" si="0"/>
        <v>216</v>
      </c>
      <c r="L15" s="13"/>
      <c r="M15" s="13"/>
      <c r="N15" s="14"/>
      <c r="O15" s="14"/>
      <c r="P15" s="14"/>
      <c r="Q15" s="14"/>
      <c r="R15" s="2">
        <f t="shared" si="1"/>
        <v>216</v>
      </c>
    </row>
  </sheetData>
  <sheetProtection formatCells="0" formatColumns="0" formatRows="0" insertColumns="0" insertRows="0" insertHyperlinks="0" deleteColumns="0" deleteRows="0" sort="0"/>
  <mergeCells count="37">
    <mergeCell ref="G12:G13"/>
    <mergeCell ref="L4:P4"/>
    <mergeCell ref="L6:Q6"/>
    <mergeCell ref="L5:Q5"/>
    <mergeCell ref="A7:R7"/>
    <mergeCell ref="Q4:R4"/>
    <mergeCell ref="A1:C1"/>
    <mergeCell ref="F4:H4"/>
    <mergeCell ref="A12:A13"/>
    <mergeCell ref="B12:B13"/>
    <mergeCell ref="C12:C13"/>
    <mergeCell ref="D12:D13"/>
    <mergeCell ref="E12:E13"/>
    <mergeCell ref="B9:D9"/>
    <mergeCell ref="F9:H9"/>
    <mergeCell ref="A4:C6"/>
    <mergeCell ref="F6:H6"/>
    <mergeCell ref="F5:H5"/>
    <mergeCell ref="B10:K10"/>
    <mergeCell ref="H12:H13"/>
    <mergeCell ref="F12:F13"/>
    <mergeCell ref="J12:J13"/>
    <mergeCell ref="N9:R9"/>
    <mergeCell ref="B8:D8"/>
    <mergeCell ref="F8:H8"/>
    <mergeCell ref="I8:K8"/>
    <mergeCell ref="N8:R8"/>
    <mergeCell ref="I9:K9"/>
    <mergeCell ref="K12:K13"/>
    <mergeCell ref="I12:I13"/>
    <mergeCell ref="L12:L13"/>
    <mergeCell ref="O10:P10"/>
    <mergeCell ref="Q10:R10"/>
    <mergeCell ref="O11:P11"/>
    <mergeCell ref="Q11:R11"/>
    <mergeCell ref="M12:M13"/>
    <mergeCell ref="N12:R12"/>
  </mergeCells>
  <phoneticPr fontId="8" type="noConversion"/>
  <conditionalFormatting sqref="D14:D15 R14:R15 K14:K15 O14:O15">
    <cfRule type="cellIs" dxfId="0" priority="1" stopIfTrue="1" operator="greaterThanOrEqual">
      <formula>#REF!</formula>
    </cfRule>
  </conditionalFormatting>
  <dataValidations count="3">
    <dataValidation type="list" allowBlank="1" showInputMessage="1" showErrorMessage="1" sqref="D14:D15 O14:O15" xr:uid="{ADCE432E-9576-4B61-B09E-3538A1188765}">
      <formula1>Sev</formula1>
    </dataValidation>
    <dataValidation type="list" allowBlank="1" showInputMessage="1" showErrorMessage="1" sqref="P14:P15 H14:H15" xr:uid="{9448EF44-F384-4A47-BC1C-2D3E80CBC279}">
      <formula1>Occur</formula1>
    </dataValidation>
    <dataValidation type="list" allowBlank="1" showInputMessage="1" showErrorMessage="1" sqref="Q14:Q15 J14:J15" xr:uid="{9736DCEB-4316-4210-AB5B-6E328600EF23}">
      <formula1>Det</formula1>
    </dataValidation>
  </dataValidations>
  <pageMargins left="0.75" right="0.75" top="1" bottom="1" header="0.5" footer="0.5"/>
  <pageSetup paperSize="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EFEA-4D67-49C3-9E22-C18C438E3D41}">
  <sheetPr>
    <tabColor rgb="FF99CCFF"/>
  </sheetPr>
  <dimension ref="B1:K15"/>
  <sheetViews>
    <sheetView showGridLines="0" topLeftCell="B3" zoomScaleNormal="100" zoomScaleSheetLayoutView="90" workbookViewId="0">
      <selection activeCell="D6" sqref="D6"/>
    </sheetView>
  </sheetViews>
  <sheetFormatPr defaultColWidth="8.88671875" defaultRowHeight="14.4" x14ac:dyDescent="0.25"/>
  <cols>
    <col min="1" max="1" width="4.33203125" style="73" customWidth="1"/>
    <col min="2" max="2" width="11.6640625" style="73" customWidth="1"/>
    <col min="3" max="3" width="28" style="73" customWidth="1"/>
    <col min="4" max="4" width="68.6640625" style="73" customWidth="1"/>
    <col min="5" max="6" width="10.88671875" style="73" customWidth="1"/>
    <col min="7" max="7" width="10.88671875" style="39" customWidth="1"/>
    <col min="8" max="8" width="29" style="73" customWidth="1"/>
    <col min="9" max="9" width="4.5546875" style="73" customWidth="1"/>
    <col min="10" max="16384" width="8.88671875" style="73"/>
  </cols>
  <sheetData>
    <row r="1" spans="2:11" ht="33" customHeight="1" thickBot="1" x14ac:dyDescent="0.3">
      <c r="H1" s="60"/>
      <c r="I1" s="41" t="s">
        <v>98</v>
      </c>
    </row>
    <row r="2" spans="2:11" ht="39" customHeight="1" thickBot="1" x14ac:dyDescent="0.3">
      <c r="B2" s="115" t="s">
        <v>204</v>
      </c>
      <c r="C2" s="116"/>
      <c r="D2" s="116"/>
      <c r="E2" s="116"/>
      <c r="F2" s="116"/>
      <c r="G2" s="116"/>
      <c r="H2" s="117"/>
      <c r="I2" s="74"/>
    </row>
    <row r="3" spans="2:11" ht="18.600000000000001" thickBot="1" x14ac:dyDescent="0.3">
      <c r="B3" s="42" t="s">
        <v>100</v>
      </c>
      <c r="C3" s="118" t="s">
        <v>101</v>
      </c>
      <c r="D3" s="119"/>
      <c r="E3" s="120" t="s">
        <v>205</v>
      </c>
      <c r="F3" s="120" t="s">
        <v>206</v>
      </c>
      <c r="G3" s="120" t="s">
        <v>207</v>
      </c>
      <c r="H3" s="122" t="s">
        <v>102</v>
      </c>
      <c r="I3" s="74"/>
    </row>
    <row r="4" spans="2:11" ht="45" customHeight="1" thickBot="1" x14ac:dyDescent="0.3">
      <c r="B4" s="43" t="s">
        <v>105</v>
      </c>
      <c r="C4" s="43" t="s">
        <v>208</v>
      </c>
      <c r="D4" s="43" t="s">
        <v>209</v>
      </c>
      <c r="E4" s="121"/>
      <c r="F4" s="121"/>
      <c r="G4" s="121"/>
      <c r="H4" s="122"/>
      <c r="K4" s="75"/>
    </row>
    <row r="5" spans="2:11" ht="42" customHeight="1" thickBot="1" x14ac:dyDescent="0.3">
      <c r="B5" s="45">
        <v>10</v>
      </c>
      <c r="C5" s="76" t="s">
        <v>210</v>
      </c>
      <c r="D5" s="76" t="s">
        <v>211</v>
      </c>
      <c r="E5" s="77"/>
      <c r="F5" s="78"/>
      <c r="G5" s="110" t="s">
        <v>212</v>
      </c>
      <c r="H5" s="79"/>
    </row>
    <row r="6" spans="2:11" ht="42" customHeight="1" thickBot="1" x14ac:dyDescent="0.3">
      <c r="B6" s="47">
        <v>9</v>
      </c>
      <c r="C6" s="76" t="s">
        <v>213</v>
      </c>
      <c r="D6" s="76" t="s">
        <v>214</v>
      </c>
      <c r="E6" s="80"/>
      <c r="F6" s="78"/>
      <c r="G6" s="111"/>
      <c r="H6" s="79"/>
    </row>
    <row r="7" spans="2:11" ht="42" customHeight="1" thickBot="1" x14ac:dyDescent="0.3">
      <c r="B7" s="48">
        <v>8</v>
      </c>
      <c r="C7" s="76" t="s">
        <v>215</v>
      </c>
      <c r="D7" s="76" t="s">
        <v>216</v>
      </c>
      <c r="E7" s="80"/>
      <c r="F7" s="78"/>
      <c r="G7" s="111"/>
      <c r="H7" s="79"/>
    </row>
    <row r="8" spans="2:11" ht="42" customHeight="1" thickBot="1" x14ac:dyDescent="0.3">
      <c r="B8" s="49">
        <v>7</v>
      </c>
      <c r="C8" s="76" t="s">
        <v>217</v>
      </c>
      <c r="D8" s="76" t="s">
        <v>218</v>
      </c>
      <c r="E8" s="80"/>
      <c r="F8" s="110" t="s">
        <v>219</v>
      </c>
      <c r="G8" s="111"/>
      <c r="H8" s="79"/>
    </row>
    <row r="9" spans="2:11" ht="42" customHeight="1" thickBot="1" x14ac:dyDescent="0.3">
      <c r="B9" s="50">
        <v>6</v>
      </c>
      <c r="C9" s="76" t="s">
        <v>215</v>
      </c>
      <c r="D9" s="76" t="s">
        <v>220</v>
      </c>
      <c r="E9" s="80"/>
      <c r="F9" s="112"/>
      <c r="G9" s="111"/>
      <c r="H9" s="79"/>
    </row>
    <row r="10" spans="2:11" ht="58.5" customHeight="1" thickBot="1" x14ac:dyDescent="0.3">
      <c r="B10" s="51">
        <v>5</v>
      </c>
      <c r="C10" s="76" t="s">
        <v>217</v>
      </c>
      <c r="D10" s="76" t="s">
        <v>221</v>
      </c>
      <c r="E10" s="80"/>
      <c r="F10" s="110" t="s">
        <v>222</v>
      </c>
      <c r="G10" s="112"/>
      <c r="H10" s="79"/>
    </row>
    <row r="11" spans="2:11" ht="42" customHeight="1" thickBot="1" x14ac:dyDescent="0.3">
      <c r="B11" s="52">
        <v>4</v>
      </c>
      <c r="C11" s="76" t="s">
        <v>215</v>
      </c>
      <c r="D11" s="76" t="s">
        <v>223</v>
      </c>
      <c r="E11" s="110" t="s">
        <v>224</v>
      </c>
      <c r="F11" s="111"/>
      <c r="G11" s="81"/>
      <c r="H11" s="79"/>
    </row>
    <row r="12" spans="2:11" ht="42" customHeight="1" thickBot="1" x14ac:dyDescent="0.3">
      <c r="B12" s="53">
        <v>3</v>
      </c>
      <c r="C12" s="76" t="s">
        <v>217</v>
      </c>
      <c r="D12" s="76" t="s">
        <v>225</v>
      </c>
      <c r="E12" s="113"/>
      <c r="F12" s="112"/>
      <c r="G12" s="81"/>
      <c r="H12" s="79"/>
    </row>
    <row r="13" spans="2:11" ht="42" customHeight="1" thickBot="1" x14ac:dyDescent="0.3">
      <c r="B13" s="54">
        <v>2</v>
      </c>
      <c r="C13" s="76" t="s">
        <v>226</v>
      </c>
      <c r="D13" s="76" t="s">
        <v>227</v>
      </c>
      <c r="E13" s="113"/>
      <c r="F13" s="78"/>
      <c r="G13" s="81"/>
      <c r="H13" s="79"/>
    </row>
    <row r="14" spans="2:11" ht="42" customHeight="1" thickBot="1" x14ac:dyDescent="0.3">
      <c r="B14" s="55">
        <v>1</v>
      </c>
      <c r="C14" s="76" t="s">
        <v>228</v>
      </c>
      <c r="D14" s="76" t="s">
        <v>229</v>
      </c>
      <c r="E14" s="114"/>
      <c r="F14" s="82"/>
      <c r="G14" s="83"/>
      <c r="H14" s="79"/>
    </row>
    <row r="15" spans="2:11" x14ac:dyDescent="0.25">
      <c r="B15" s="56" t="s">
        <v>136</v>
      </c>
      <c r="G15" s="84"/>
      <c r="H15" s="57" t="s">
        <v>137</v>
      </c>
    </row>
  </sheetData>
  <mergeCells count="10">
    <mergeCell ref="G5:G10"/>
    <mergeCell ref="F8:F9"/>
    <mergeCell ref="F10:F12"/>
    <mergeCell ref="E11:E14"/>
    <mergeCell ref="B2:H2"/>
    <mergeCell ref="C3:D3"/>
    <mergeCell ref="E3:E4"/>
    <mergeCell ref="F3:F4"/>
    <mergeCell ref="G3:G4"/>
    <mergeCell ref="H3:H4"/>
  </mergeCells>
  <hyperlinks>
    <hyperlink ref="H15" location="'PFMEA Template'!A1" display="Return to PFMEA" xr:uid="{33923CD1-82AA-42E6-B1AB-2842F93C4DF9}"/>
  </hyperlinks>
  <pageMargins left="0.25" right="0.25" top="0.75" bottom="0.75" header="0.3" footer="0.3"/>
  <pageSetup scale="50"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E708-D59C-42F1-B1F6-CD8F4E41DE9D}">
  <sheetPr>
    <tabColor rgb="FF99CCFF"/>
  </sheetPr>
  <dimension ref="B1:K21"/>
  <sheetViews>
    <sheetView showGridLines="0" topLeftCell="A4" zoomScaleNormal="100" zoomScaleSheetLayoutView="100" workbookViewId="0">
      <selection activeCell="D3" sqref="D3:G3"/>
    </sheetView>
  </sheetViews>
  <sheetFormatPr defaultColWidth="8.88671875" defaultRowHeight="14.4" x14ac:dyDescent="0.25"/>
  <cols>
    <col min="1" max="1" width="3.6640625" style="39" customWidth="1"/>
    <col min="2" max="2" width="11.6640625" style="39" customWidth="1"/>
    <col min="3" max="3" width="13" style="39" customWidth="1"/>
    <col min="4" max="4" width="16" style="58" customWidth="1"/>
    <col min="5" max="5" width="15.33203125" style="59" customWidth="1"/>
    <col min="6" max="6" width="14.6640625" style="39" customWidth="1"/>
    <col min="7" max="7" width="17.6640625" style="39" customWidth="1"/>
    <col min="8" max="8" width="15.6640625" style="39" customWidth="1"/>
    <col min="9" max="9" width="14.88671875" style="39" customWidth="1"/>
    <col min="10" max="10" width="30.33203125" style="69" customWidth="1"/>
    <col min="11" max="11" width="3.109375" style="39" customWidth="1"/>
    <col min="12" max="16384" width="8.88671875" style="39"/>
  </cols>
  <sheetData>
    <row r="1" spans="2:11" ht="30.75" customHeight="1" thickBot="1" x14ac:dyDescent="0.3">
      <c r="J1" s="60"/>
      <c r="K1" s="41" t="s">
        <v>98</v>
      </c>
    </row>
    <row r="2" spans="2:11" ht="41.25" customHeight="1" thickBot="1" x14ac:dyDescent="0.3">
      <c r="B2" s="115" t="s">
        <v>138</v>
      </c>
      <c r="C2" s="126"/>
      <c r="D2" s="126"/>
      <c r="E2" s="126"/>
      <c r="F2" s="126"/>
      <c r="G2" s="126"/>
      <c r="H2" s="126"/>
      <c r="I2" s="126"/>
      <c r="J2" s="127"/>
    </row>
    <row r="3" spans="2:11" ht="26.25" customHeight="1" thickBot="1" x14ac:dyDescent="0.3">
      <c r="B3" s="42" t="s">
        <v>100</v>
      </c>
      <c r="C3" s="42" t="s">
        <v>139</v>
      </c>
      <c r="D3" s="118" t="s">
        <v>140</v>
      </c>
      <c r="E3" s="128"/>
      <c r="F3" s="128"/>
      <c r="G3" s="119"/>
      <c r="H3" s="42" t="s">
        <v>141</v>
      </c>
      <c r="I3" s="42" t="s">
        <v>139</v>
      </c>
      <c r="J3" s="120" t="s">
        <v>142</v>
      </c>
    </row>
    <row r="4" spans="2:11" ht="15" thickBot="1" x14ac:dyDescent="0.3">
      <c r="B4" s="120" t="s">
        <v>105</v>
      </c>
      <c r="C4" s="120" t="s">
        <v>143</v>
      </c>
      <c r="D4" s="130" t="s">
        <v>144</v>
      </c>
      <c r="E4" s="131"/>
      <c r="F4" s="120" t="s">
        <v>145</v>
      </c>
      <c r="G4" s="120" t="s">
        <v>146</v>
      </c>
      <c r="H4" s="130" t="s">
        <v>147</v>
      </c>
      <c r="I4" s="131"/>
      <c r="J4" s="129" t="s">
        <v>142</v>
      </c>
    </row>
    <row r="5" spans="2:11" ht="29.4" thickBot="1" x14ac:dyDescent="0.3">
      <c r="B5" s="121"/>
      <c r="C5" s="121"/>
      <c r="D5" s="43" t="s">
        <v>148</v>
      </c>
      <c r="E5" s="43" t="s">
        <v>146</v>
      </c>
      <c r="F5" s="121"/>
      <c r="G5" s="121"/>
      <c r="H5" s="43" t="s">
        <v>148</v>
      </c>
      <c r="I5" s="43" t="s">
        <v>149</v>
      </c>
      <c r="J5" s="121"/>
    </row>
    <row r="6" spans="2:11" ht="41.25" customHeight="1" thickBot="1" x14ac:dyDescent="0.3">
      <c r="B6" s="45">
        <v>10</v>
      </c>
      <c r="C6" s="44" t="s">
        <v>150</v>
      </c>
      <c r="D6" s="61" t="s">
        <v>151</v>
      </c>
      <c r="E6" s="44" t="s">
        <v>152</v>
      </c>
      <c r="F6" s="62">
        <v>500000</v>
      </c>
      <c r="G6" s="44" t="s">
        <v>153</v>
      </c>
      <c r="H6" s="63" t="s">
        <v>154</v>
      </c>
      <c r="I6" s="44" t="s">
        <v>155</v>
      </c>
      <c r="J6" s="64"/>
    </row>
    <row r="7" spans="2:11" ht="41.25" customHeight="1" thickBot="1" x14ac:dyDescent="0.3">
      <c r="B7" s="47">
        <v>9</v>
      </c>
      <c r="C7" s="123" t="s">
        <v>156</v>
      </c>
      <c r="D7" s="61" t="s">
        <v>157</v>
      </c>
      <c r="E7" s="44" t="s">
        <v>158</v>
      </c>
      <c r="F7" s="62">
        <v>50000</v>
      </c>
      <c r="G7" s="44" t="s">
        <v>159</v>
      </c>
      <c r="H7" s="44" t="s">
        <v>160</v>
      </c>
      <c r="I7" s="63" t="s">
        <v>161</v>
      </c>
      <c r="J7" s="64"/>
    </row>
    <row r="8" spans="2:11" ht="41.25" customHeight="1" thickBot="1" x14ac:dyDescent="0.3">
      <c r="B8" s="48">
        <v>8</v>
      </c>
      <c r="C8" s="123"/>
      <c r="D8" s="61" t="s">
        <v>162</v>
      </c>
      <c r="E8" s="44" t="s">
        <v>163</v>
      </c>
      <c r="F8" s="62">
        <v>20000</v>
      </c>
      <c r="G8" s="44" t="s">
        <v>163</v>
      </c>
      <c r="H8" s="44" t="s">
        <v>164</v>
      </c>
      <c r="I8" s="63" t="s">
        <v>165</v>
      </c>
      <c r="J8" s="64"/>
    </row>
    <row r="9" spans="2:11" ht="41.25" customHeight="1" thickBot="1" x14ac:dyDescent="0.3">
      <c r="B9" s="49">
        <v>7</v>
      </c>
      <c r="C9" s="123"/>
      <c r="D9" s="61" t="s">
        <v>166</v>
      </c>
      <c r="E9" s="44" t="s">
        <v>167</v>
      </c>
      <c r="F9" s="62">
        <v>10000</v>
      </c>
      <c r="G9" s="44" t="s">
        <v>168</v>
      </c>
      <c r="H9" s="44" t="s">
        <v>169</v>
      </c>
      <c r="I9" s="63" t="s">
        <v>170</v>
      </c>
      <c r="J9" s="64"/>
    </row>
    <row r="10" spans="2:11" ht="41.25" customHeight="1" thickBot="1" x14ac:dyDescent="0.3">
      <c r="B10" s="50">
        <v>6</v>
      </c>
      <c r="C10" s="123" t="s">
        <v>171</v>
      </c>
      <c r="D10" s="61" t="s">
        <v>172</v>
      </c>
      <c r="E10" s="44" t="s">
        <v>173</v>
      </c>
      <c r="F10" s="62">
        <v>5000</v>
      </c>
      <c r="G10" s="44" t="s">
        <v>174</v>
      </c>
      <c r="H10" s="44" t="s">
        <v>175</v>
      </c>
      <c r="I10" s="63" t="s">
        <v>176</v>
      </c>
      <c r="J10" s="64"/>
    </row>
    <row r="11" spans="2:11" ht="41.25" customHeight="1" thickBot="1" x14ac:dyDescent="0.3">
      <c r="B11" s="51">
        <v>5</v>
      </c>
      <c r="C11" s="123"/>
      <c r="D11" s="61" t="s">
        <v>177</v>
      </c>
      <c r="E11" s="44" t="s">
        <v>178</v>
      </c>
      <c r="F11" s="62">
        <v>1000</v>
      </c>
      <c r="G11" s="44" t="s">
        <v>179</v>
      </c>
      <c r="H11" s="44" t="s">
        <v>180</v>
      </c>
      <c r="I11" s="63" t="s">
        <v>181</v>
      </c>
      <c r="J11" s="64"/>
    </row>
    <row r="12" spans="2:11" ht="41.25" customHeight="1" thickBot="1" x14ac:dyDescent="0.3">
      <c r="B12" s="52">
        <v>4</v>
      </c>
      <c r="C12" s="123"/>
      <c r="D12" s="61" t="s">
        <v>182</v>
      </c>
      <c r="E12" s="44" t="s">
        <v>183</v>
      </c>
      <c r="F12" s="44">
        <v>100</v>
      </c>
      <c r="G12" s="44" t="s">
        <v>184</v>
      </c>
      <c r="H12" s="44" t="s">
        <v>185</v>
      </c>
      <c r="I12" s="63" t="s">
        <v>186</v>
      </c>
      <c r="J12" s="64"/>
    </row>
    <row r="13" spans="2:11" ht="41.25" customHeight="1" thickBot="1" x14ac:dyDescent="0.3">
      <c r="B13" s="53">
        <v>3</v>
      </c>
      <c r="C13" s="123" t="s">
        <v>187</v>
      </c>
      <c r="D13" s="61" t="s">
        <v>188</v>
      </c>
      <c r="E13" s="44" t="s">
        <v>189</v>
      </c>
      <c r="F13" s="44">
        <v>10</v>
      </c>
      <c r="G13" s="44" t="s">
        <v>190</v>
      </c>
      <c r="H13" s="44" t="s">
        <v>191</v>
      </c>
      <c r="I13" s="63" t="s">
        <v>192</v>
      </c>
      <c r="J13" s="64"/>
    </row>
    <row r="14" spans="2:11" ht="28.2" thickBot="1" x14ac:dyDescent="0.3">
      <c r="B14" s="54">
        <v>2</v>
      </c>
      <c r="C14" s="123"/>
      <c r="D14" s="61" t="s">
        <v>193</v>
      </c>
      <c r="E14" s="44" t="s">
        <v>194</v>
      </c>
      <c r="F14" s="44">
        <v>1</v>
      </c>
      <c r="G14" s="44" t="s">
        <v>195</v>
      </c>
      <c r="H14" s="44" t="s">
        <v>196</v>
      </c>
      <c r="I14" s="63" t="s">
        <v>197</v>
      </c>
      <c r="J14" s="64"/>
    </row>
    <row r="15" spans="2:11" ht="40.200000000000003" thickBot="1" x14ac:dyDescent="0.3">
      <c r="B15" s="55">
        <v>1</v>
      </c>
      <c r="C15" s="44" t="s">
        <v>198</v>
      </c>
      <c r="D15" s="61" t="s">
        <v>199</v>
      </c>
      <c r="E15" s="44" t="s">
        <v>200</v>
      </c>
      <c r="F15" s="44" t="s">
        <v>201</v>
      </c>
      <c r="G15" s="44" t="s">
        <v>202</v>
      </c>
      <c r="H15" s="63" t="s">
        <v>203</v>
      </c>
      <c r="I15" s="63" t="s">
        <v>203</v>
      </c>
      <c r="J15" s="64"/>
    </row>
    <row r="16" spans="2:11" ht="15" customHeight="1" x14ac:dyDescent="0.25">
      <c r="B16" s="65" t="s">
        <v>136</v>
      </c>
      <c r="C16" s="66"/>
      <c r="D16" s="67"/>
      <c r="E16" s="68"/>
      <c r="F16" s="66"/>
      <c r="G16" s="66"/>
      <c r="H16" s="66"/>
      <c r="I16" s="66"/>
      <c r="J16" s="57" t="s">
        <v>137</v>
      </c>
    </row>
    <row r="17" spans="2:9" hidden="1" x14ac:dyDescent="0.25">
      <c r="B17" s="124"/>
      <c r="C17" s="124"/>
      <c r="D17" s="124"/>
      <c r="E17" s="124"/>
      <c r="F17" s="124"/>
      <c r="G17" s="124"/>
      <c r="H17" s="124"/>
      <c r="I17" s="124"/>
    </row>
    <row r="18" spans="2:9" x14ac:dyDescent="0.25">
      <c r="B18" s="70"/>
      <c r="C18" s="70"/>
      <c r="D18" s="70"/>
    </row>
    <row r="19" spans="2:9" x14ac:dyDescent="0.25">
      <c r="B19" s="71"/>
      <c r="C19" s="71"/>
      <c r="D19" s="72"/>
    </row>
    <row r="20" spans="2:9" x14ac:dyDescent="0.25">
      <c r="B20" s="71"/>
      <c r="C20" s="71"/>
      <c r="D20" s="72"/>
      <c r="H20" s="125"/>
      <c r="I20" s="125"/>
    </row>
    <row r="21" spans="2:9" x14ac:dyDescent="0.25">
      <c r="B21" s="71"/>
      <c r="C21" s="71"/>
      <c r="D21" s="72"/>
      <c r="H21" s="125"/>
      <c r="I21" s="125"/>
    </row>
  </sheetData>
  <mergeCells count="15">
    <mergeCell ref="B2:J2"/>
    <mergeCell ref="D3:G3"/>
    <mergeCell ref="J3:J5"/>
    <mergeCell ref="B4:B5"/>
    <mergeCell ref="C4:C5"/>
    <mergeCell ref="D4:E4"/>
    <mergeCell ref="F4:F5"/>
    <mergeCell ref="G4:G5"/>
    <mergeCell ref="H4:I4"/>
    <mergeCell ref="C7:C9"/>
    <mergeCell ref="C10:C12"/>
    <mergeCell ref="C13:C14"/>
    <mergeCell ref="B17:I17"/>
    <mergeCell ref="H20:H21"/>
    <mergeCell ref="I20:I21"/>
  </mergeCells>
  <dataValidations count="1">
    <dataValidation allowBlank="1" showInputMessage="1" showErrorMessage="1" prompt="These columns are not intended to &quot;equal&quot; one another, but serve as a reference that the cross functional team may use to rank process occurrence." sqref="H20:I21" xr:uid="{B11FD9ED-7A12-46F1-B71D-48DAAD827C34}"/>
  </dataValidations>
  <hyperlinks>
    <hyperlink ref="J16" location="'PFMEA Template'!A1" display="Return to PFMEA" xr:uid="{AF094630-19AD-4469-A699-69B27367123A}"/>
  </hyperlinks>
  <pageMargins left="0.7" right="0.7" top="0.75" bottom="0.75" header="0.3" footer="0.3"/>
  <pageSetup scale="50" orientation="portrait" r:id="rId1"/>
  <headerFooter>
    <oddHeader xml:space="preserve">&amp;RTemplate Issue date 2019NOV26
</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5079-6C96-4192-A492-E3C5F37226AD}">
  <sheetPr>
    <tabColor rgb="FF99CCFF"/>
  </sheetPr>
  <dimension ref="B1:H15"/>
  <sheetViews>
    <sheetView showGridLines="0" zoomScale="80" zoomScaleNormal="80" workbookViewId="0">
      <selection activeCell="C6" sqref="C6"/>
    </sheetView>
  </sheetViews>
  <sheetFormatPr defaultColWidth="8.88671875" defaultRowHeight="14.4" x14ac:dyDescent="0.25"/>
  <cols>
    <col min="1" max="1" width="3.33203125" style="39" customWidth="1"/>
    <col min="2" max="2" width="15" style="39" customWidth="1"/>
    <col min="3" max="3" width="43.109375" style="39" customWidth="1"/>
    <col min="4" max="4" width="11.6640625" style="39" customWidth="1"/>
    <col min="5" max="5" width="15" style="39" customWidth="1"/>
    <col min="6" max="6" width="50.88671875" style="39" customWidth="1"/>
    <col min="7" max="7" width="27" style="39" customWidth="1"/>
    <col min="8" max="8" width="4.109375" style="39" customWidth="1"/>
    <col min="9" max="16384" width="8.88671875" style="39"/>
  </cols>
  <sheetData>
    <row r="1" spans="2:8" ht="28.5" customHeight="1" thickBot="1" x14ac:dyDescent="0.3">
      <c r="G1" s="40"/>
      <c r="H1" s="41" t="s">
        <v>98</v>
      </c>
    </row>
    <row r="2" spans="2:8" ht="45.75" customHeight="1" thickBot="1" x14ac:dyDescent="0.3">
      <c r="B2" s="115" t="s">
        <v>99</v>
      </c>
      <c r="C2" s="126"/>
      <c r="D2" s="126"/>
      <c r="E2" s="126"/>
      <c r="F2" s="126"/>
      <c r="G2" s="127"/>
    </row>
    <row r="3" spans="2:8" ht="15" thickBot="1" x14ac:dyDescent="0.3">
      <c r="B3" s="42" t="s">
        <v>100</v>
      </c>
      <c r="C3" s="132" t="s">
        <v>101</v>
      </c>
      <c r="D3" s="132"/>
      <c r="E3" s="132"/>
      <c r="F3" s="132"/>
      <c r="G3" s="122" t="s">
        <v>102</v>
      </c>
    </row>
    <row r="4" spans="2:8" ht="29.4" thickBot="1" x14ac:dyDescent="0.3">
      <c r="B4" s="43" t="s">
        <v>103</v>
      </c>
      <c r="C4" s="43" t="s">
        <v>104</v>
      </c>
      <c r="D4" s="43" t="s">
        <v>105</v>
      </c>
      <c r="E4" s="43" t="s">
        <v>106</v>
      </c>
      <c r="F4" s="43" t="s">
        <v>107</v>
      </c>
      <c r="G4" s="122"/>
    </row>
    <row r="5" spans="2:8" ht="42" thickBot="1" x14ac:dyDescent="0.3">
      <c r="B5" s="123" t="s">
        <v>108</v>
      </c>
      <c r="C5" s="44" t="s">
        <v>109</v>
      </c>
      <c r="D5" s="45">
        <v>10</v>
      </c>
      <c r="E5" s="123" t="s">
        <v>108</v>
      </c>
      <c r="F5" s="44" t="s">
        <v>110</v>
      </c>
      <c r="G5" s="46"/>
    </row>
    <row r="6" spans="2:8" ht="42" thickBot="1" x14ac:dyDescent="0.3">
      <c r="B6" s="123"/>
      <c r="C6" s="44" t="s">
        <v>111</v>
      </c>
      <c r="D6" s="47">
        <v>9</v>
      </c>
      <c r="E6" s="123"/>
      <c r="F6" s="44" t="s">
        <v>112</v>
      </c>
      <c r="G6" s="46"/>
    </row>
    <row r="7" spans="2:8" ht="57.6" customHeight="1" thickBot="1" x14ac:dyDescent="0.3">
      <c r="B7" s="123" t="s">
        <v>113</v>
      </c>
      <c r="C7" s="44" t="s">
        <v>114</v>
      </c>
      <c r="D7" s="48">
        <v>8</v>
      </c>
      <c r="E7" s="44" t="s">
        <v>115</v>
      </c>
      <c r="F7" s="44" t="s">
        <v>116</v>
      </c>
      <c r="G7" s="46"/>
    </row>
    <row r="8" spans="2:8" ht="42" thickBot="1" x14ac:dyDescent="0.3">
      <c r="B8" s="123"/>
      <c r="C8" s="44" t="s">
        <v>117</v>
      </c>
      <c r="D8" s="49">
        <v>7</v>
      </c>
      <c r="E8" s="44" t="s">
        <v>118</v>
      </c>
      <c r="F8" s="44" t="s">
        <v>119</v>
      </c>
      <c r="G8" s="46"/>
    </row>
    <row r="9" spans="2:8" ht="42" thickBot="1" x14ac:dyDescent="0.3">
      <c r="B9" s="123" t="s">
        <v>120</v>
      </c>
      <c r="C9" s="44" t="s">
        <v>121</v>
      </c>
      <c r="D9" s="50">
        <v>6</v>
      </c>
      <c r="E9" s="123" t="s">
        <v>122</v>
      </c>
      <c r="F9" s="44" t="s">
        <v>123</v>
      </c>
      <c r="G9" s="46"/>
    </row>
    <row r="10" spans="2:8" ht="55.8" thickBot="1" x14ac:dyDescent="0.3">
      <c r="B10" s="123"/>
      <c r="C10" s="44" t="s">
        <v>124</v>
      </c>
      <c r="D10" s="51">
        <v>5</v>
      </c>
      <c r="E10" s="123"/>
      <c r="F10" s="44" t="s">
        <v>125</v>
      </c>
      <c r="G10" s="46"/>
    </row>
    <row r="11" spans="2:8" ht="42" thickBot="1" x14ac:dyDescent="0.3">
      <c r="B11" s="123" t="s">
        <v>126</v>
      </c>
      <c r="C11" s="44" t="s">
        <v>127</v>
      </c>
      <c r="D11" s="52">
        <v>4</v>
      </c>
      <c r="E11" s="123" t="s">
        <v>122</v>
      </c>
      <c r="F11" s="44" t="s">
        <v>128</v>
      </c>
      <c r="G11" s="46"/>
    </row>
    <row r="12" spans="2:8" ht="42" thickBot="1" x14ac:dyDescent="0.3">
      <c r="B12" s="123"/>
      <c r="C12" s="44" t="s">
        <v>129</v>
      </c>
      <c r="D12" s="53">
        <v>3</v>
      </c>
      <c r="E12" s="123"/>
      <c r="F12" s="44" t="s">
        <v>130</v>
      </c>
      <c r="G12" s="46"/>
    </row>
    <row r="13" spans="2:8" ht="42" thickBot="1" x14ac:dyDescent="0.3">
      <c r="B13" s="123"/>
      <c r="C13" s="44" t="s">
        <v>131</v>
      </c>
      <c r="D13" s="54">
        <v>2</v>
      </c>
      <c r="E13" s="44" t="s">
        <v>132</v>
      </c>
      <c r="F13" s="44" t="s">
        <v>133</v>
      </c>
      <c r="G13" s="46"/>
    </row>
    <row r="14" spans="2:8" ht="18.600000000000001" thickBot="1" x14ac:dyDescent="0.3">
      <c r="B14" s="44" t="s">
        <v>134</v>
      </c>
      <c r="C14" s="44" t="s">
        <v>135</v>
      </c>
      <c r="D14" s="55">
        <v>1</v>
      </c>
      <c r="E14" s="44" t="s">
        <v>134</v>
      </c>
      <c r="F14" s="44" t="s">
        <v>135</v>
      </c>
      <c r="G14" s="46"/>
    </row>
    <row r="15" spans="2:8" x14ac:dyDescent="0.25">
      <c r="B15" s="56" t="s">
        <v>136</v>
      </c>
      <c r="G15" s="57" t="s">
        <v>137</v>
      </c>
    </row>
  </sheetData>
  <mergeCells count="10">
    <mergeCell ref="B9:B10"/>
    <mergeCell ref="E9:E10"/>
    <mergeCell ref="B11:B13"/>
    <mergeCell ref="E11:E12"/>
    <mergeCell ref="B2:G2"/>
    <mergeCell ref="C3:F3"/>
    <mergeCell ref="G3:G4"/>
    <mergeCell ref="B5:B6"/>
    <mergeCell ref="E5:E6"/>
    <mergeCell ref="B7:B8"/>
  </mergeCells>
  <hyperlinks>
    <hyperlink ref="G15" location="'PFMEA Template'!A1" display="Return to PFMEA" xr:uid="{F3B813F7-1CE1-49BA-8A07-5B90C9BB7B15}"/>
  </hyperlinks>
  <pageMargins left="0.7" right="0.7" top="0.75" bottom="0.75" header="0.3" footer="0.3"/>
  <pageSetup scale="52" orientation="portrait" r:id="rId1"/>
  <headerFooter>
    <oddHeader xml:space="preserve">&amp;R
</oddHead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zoomScaleNormal="100" workbookViewId="0">
      <selection activeCell="C23" sqref="C23"/>
    </sheetView>
  </sheetViews>
  <sheetFormatPr defaultColWidth="9.109375" defaultRowHeight="13.2" x14ac:dyDescent="0.25"/>
  <cols>
    <col min="1" max="1" width="70.109375" style="3" customWidth="1"/>
    <col min="2" max="2" width="6" style="8" customWidth="1"/>
    <col min="3" max="3" width="57.33203125" style="3" customWidth="1"/>
    <col min="4" max="16384" width="9.109375" style="3"/>
  </cols>
  <sheetData>
    <row r="1" spans="1:3" ht="13.8" thickBot="1" x14ac:dyDescent="0.3">
      <c r="A1" s="3" t="s">
        <v>30</v>
      </c>
    </row>
    <row r="2" spans="1:3" ht="13.8" thickTop="1" x14ac:dyDescent="0.25">
      <c r="A2" s="4" t="s">
        <v>35</v>
      </c>
      <c r="B2" s="9"/>
    </row>
    <row r="3" spans="1:3" x14ac:dyDescent="0.25">
      <c r="A3" s="135" t="s">
        <v>64</v>
      </c>
      <c r="B3" s="136"/>
    </row>
    <row r="4" spans="1:3" x14ac:dyDescent="0.25">
      <c r="A4" s="135" t="s">
        <v>31</v>
      </c>
      <c r="B4" s="136"/>
    </row>
    <row r="5" spans="1:3" x14ac:dyDescent="0.25">
      <c r="A5" s="135" t="s">
        <v>32</v>
      </c>
      <c r="B5" s="136"/>
    </row>
    <row r="6" spans="1:3" x14ac:dyDescent="0.25">
      <c r="A6" s="135" t="s">
        <v>33</v>
      </c>
      <c r="B6" s="136"/>
    </row>
    <row r="7" spans="1:3" ht="13.8" thickBot="1" x14ac:dyDescent="0.3">
      <c r="A7" s="133" t="s">
        <v>34</v>
      </c>
      <c r="B7" s="134"/>
    </row>
    <row r="8" spans="1:3" ht="14.4" thickTop="1" thickBot="1" x14ac:dyDescent="0.3">
      <c r="A8" s="5"/>
      <c r="C8" s="3" t="s">
        <v>50</v>
      </c>
    </row>
    <row r="9" spans="1:3" ht="13.8" thickTop="1" x14ac:dyDescent="0.25">
      <c r="A9" s="12" t="s">
        <v>36</v>
      </c>
      <c r="B9" s="17" t="s">
        <v>16</v>
      </c>
    </row>
    <row r="10" spans="1:3" x14ac:dyDescent="0.25">
      <c r="A10" s="6" t="s">
        <v>40</v>
      </c>
      <c r="B10" s="10">
        <v>1</v>
      </c>
      <c r="C10" s="3" t="s">
        <v>51</v>
      </c>
    </row>
    <row r="11" spans="1:3" x14ac:dyDescent="0.25">
      <c r="A11" s="6"/>
      <c r="B11" s="10">
        <v>2</v>
      </c>
      <c r="C11" s="3" t="s">
        <v>49</v>
      </c>
    </row>
    <row r="12" spans="1:3" x14ac:dyDescent="0.25">
      <c r="A12" s="6"/>
      <c r="B12" s="10">
        <v>3</v>
      </c>
    </row>
    <row r="13" spans="1:3" x14ac:dyDescent="0.25">
      <c r="A13" s="6"/>
      <c r="B13" s="10">
        <v>4</v>
      </c>
      <c r="C13" s="3" t="s">
        <v>59</v>
      </c>
    </row>
    <row r="14" spans="1:3" x14ac:dyDescent="0.25">
      <c r="A14" s="6" t="s">
        <v>39</v>
      </c>
      <c r="B14" s="10">
        <v>5</v>
      </c>
      <c r="C14" s="3" t="s">
        <v>60</v>
      </c>
    </row>
    <row r="15" spans="1:3" x14ac:dyDescent="0.25">
      <c r="A15" s="6"/>
      <c r="B15" s="10">
        <v>6</v>
      </c>
    </row>
    <row r="16" spans="1:3" x14ac:dyDescent="0.25">
      <c r="A16" s="6"/>
      <c r="B16" s="10">
        <v>7</v>
      </c>
    </row>
    <row r="17" spans="1:3" x14ac:dyDescent="0.25">
      <c r="A17" s="6" t="s">
        <v>42</v>
      </c>
      <c r="B17" s="10">
        <v>8</v>
      </c>
      <c r="C17" s="3" t="s">
        <v>61</v>
      </c>
    </row>
    <row r="18" spans="1:3" x14ac:dyDescent="0.25">
      <c r="A18" s="6"/>
      <c r="B18" s="10">
        <v>9</v>
      </c>
      <c r="C18" s="3" t="s">
        <v>63</v>
      </c>
    </row>
    <row r="19" spans="1:3" ht="13.8" thickBot="1" x14ac:dyDescent="0.3">
      <c r="A19" s="7" t="s">
        <v>41</v>
      </c>
      <c r="B19" s="11">
        <v>10</v>
      </c>
      <c r="C19" s="3" t="s">
        <v>62</v>
      </c>
    </row>
    <row r="20" spans="1:3" ht="14.4" thickTop="1" thickBot="1" x14ac:dyDescent="0.3"/>
    <row r="21" spans="1:3" ht="13.8" thickTop="1" x14ac:dyDescent="0.25">
      <c r="A21" s="12" t="s">
        <v>37</v>
      </c>
      <c r="B21" s="17" t="s">
        <v>18</v>
      </c>
    </row>
    <row r="22" spans="1:3" x14ac:dyDescent="0.25">
      <c r="A22" s="6" t="s">
        <v>44</v>
      </c>
      <c r="B22" s="10">
        <v>1</v>
      </c>
      <c r="C22" s="3" t="s">
        <v>54</v>
      </c>
    </row>
    <row r="23" spans="1:3" x14ac:dyDescent="0.25">
      <c r="A23" s="6"/>
      <c r="B23" s="10">
        <v>2</v>
      </c>
      <c r="C23" s="3" t="s">
        <v>56</v>
      </c>
    </row>
    <row r="24" spans="1:3" x14ac:dyDescent="0.25">
      <c r="A24" s="6"/>
      <c r="B24" s="10">
        <v>3</v>
      </c>
      <c r="C24" s="3" t="s">
        <v>57</v>
      </c>
    </row>
    <row r="25" spans="1:3" x14ac:dyDescent="0.25">
      <c r="A25" s="6"/>
      <c r="B25" s="10">
        <v>4</v>
      </c>
    </row>
    <row r="26" spans="1:3" x14ac:dyDescent="0.25">
      <c r="A26" s="6" t="s">
        <v>43</v>
      </c>
      <c r="B26" s="10">
        <v>5</v>
      </c>
      <c r="C26" s="3" t="s">
        <v>52</v>
      </c>
    </row>
    <row r="27" spans="1:3" x14ac:dyDescent="0.25">
      <c r="A27" s="6"/>
      <c r="B27" s="10">
        <v>6</v>
      </c>
    </row>
    <row r="28" spans="1:3" x14ac:dyDescent="0.25">
      <c r="A28" s="6"/>
      <c r="B28" s="10">
        <v>7</v>
      </c>
    </row>
    <row r="29" spans="1:3" x14ac:dyDescent="0.25">
      <c r="A29" s="6"/>
      <c r="B29" s="10">
        <v>8</v>
      </c>
      <c r="C29" s="3" t="s">
        <v>55</v>
      </c>
    </row>
    <row r="30" spans="1:3" x14ac:dyDescent="0.25">
      <c r="A30" s="6"/>
      <c r="B30" s="10">
        <v>9</v>
      </c>
    </row>
    <row r="31" spans="1:3" ht="13.8" thickBot="1" x14ac:dyDescent="0.3">
      <c r="A31" s="7" t="s">
        <v>45</v>
      </c>
      <c r="B31" s="11">
        <v>10</v>
      </c>
      <c r="C31" s="3" t="s">
        <v>53</v>
      </c>
    </row>
    <row r="32" spans="1:3" ht="14.4" thickTop="1" thickBot="1" x14ac:dyDescent="0.3"/>
    <row r="33" spans="1:3" ht="13.8" thickTop="1" x14ac:dyDescent="0.25">
      <c r="A33" s="12" t="s">
        <v>38</v>
      </c>
      <c r="B33" s="17" t="s">
        <v>25</v>
      </c>
    </row>
    <row r="34" spans="1:3" x14ac:dyDescent="0.25">
      <c r="A34" s="6" t="s">
        <v>47</v>
      </c>
      <c r="B34" s="10">
        <v>1</v>
      </c>
      <c r="C34" s="3" t="s">
        <v>53</v>
      </c>
    </row>
    <row r="35" spans="1:3" x14ac:dyDescent="0.25">
      <c r="A35" s="6"/>
      <c r="B35" s="10">
        <v>2</v>
      </c>
    </row>
    <row r="36" spans="1:3" x14ac:dyDescent="0.25">
      <c r="A36" s="6"/>
      <c r="B36" s="10">
        <v>3</v>
      </c>
      <c r="C36" s="3" t="s">
        <v>55</v>
      </c>
    </row>
    <row r="37" spans="1:3" x14ac:dyDescent="0.25">
      <c r="A37" s="6"/>
      <c r="B37" s="10">
        <v>4</v>
      </c>
    </row>
    <row r="38" spans="1:3" x14ac:dyDescent="0.25">
      <c r="A38" s="6" t="s">
        <v>46</v>
      </c>
      <c r="B38" s="10">
        <v>5</v>
      </c>
      <c r="C38" s="3" t="s">
        <v>52</v>
      </c>
    </row>
    <row r="39" spans="1:3" x14ac:dyDescent="0.25">
      <c r="A39" s="6"/>
      <c r="B39" s="10">
        <v>6</v>
      </c>
    </row>
    <row r="40" spans="1:3" x14ac:dyDescent="0.25">
      <c r="A40" s="6"/>
      <c r="B40" s="10">
        <v>7</v>
      </c>
    </row>
    <row r="41" spans="1:3" x14ac:dyDescent="0.25">
      <c r="A41" s="6"/>
      <c r="B41" s="10">
        <v>8</v>
      </c>
      <c r="C41" s="3" t="s">
        <v>57</v>
      </c>
    </row>
    <row r="42" spans="1:3" x14ac:dyDescent="0.25">
      <c r="A42" s="6"/>
      <c r="B42" s="10">
        <v>9</v>
      </c>
      <c r="C42" s="3" t="s">
        <v>56</v>
      </c>
    </row>
    <row r="43" spans="1:3" ht="13.8" thickBot="1" x14ac:dyDescent="0.3">
      <c r="A43" s="7" t="s">
        <v>48</v>
      </c>
      <c r="B43" s="11">
        <v>10</v>
      </c>
      <c r="C43" s="3" t="s">
        <v>54</v>
      </c>
    </row>
    <row r="44" spans="1:3" ht="13.8" thickTop="1" x14ac:dyDescent="0.25"/>
  </sheetData>
  <mergeCells count="5">
    <mergeCell ref="A7:B7"/>
    <mergeCell ref="A3:B3"/>
    <mergeCell ref="A4:B4"/>
    <mergeCell ref="A5:B5"/>
    <mergeCell ref="A6:B6"/>
  </mergeCells>
  <phoneticPr fontId="8" type="noConversion"/>
  <pageMargins left="0.7" right="0.7" top="0.75" bottom="0.75" header="0.3" footer="0.3"/>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Instructions</vt:lpstr>
      <vt:lpstr>PFMEA</vt:lpstr>
      <vt:lpstr>P-DET</vt:lpstr>
      <vt:lpstr>P-OCC</vt:lpstr>
      <vt:lpstr>P-SEV</vt:lpstr>
      <vt:lpstr>Assumptions</vt:lpstr>
      <vt:lpstr>Det</vt:lpstr>
      <vt:lpstr>Occur</vt:lpstr>
      <vt:lpstr>'P-DET'!Print_Area</vt:lpstr>
      <vt:lpstr>'P-OCC'!Print_Area</vt:lpstr>
      <vt:lpstr>'P-SEV'!Print_Area</vt:lpstr>
      <vt:lpstr>Sev</vt:lpstr>
    </vt:vector>
  </TitlesOfParts>
  <Company>Product Resources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 Caruso</dc:creator>
  <cp:lastModifiedBy>Selva Jeyaseelan</cp:lastModifiedBy>
  <cp:lastPrinted>2016-10-17T17:20:51Z</cp:lastPrinted>
  <dcterms:created xsi:type="dcterms:W3CDTF">2013-09-18T19:55:11Z</dcterms:created>
  <dcterms:modified xsi:type="dcterms:W3CDTF">2026-09-06T11:42:56Z</dcterms:modified>
</cp:coreProperties>
</file>